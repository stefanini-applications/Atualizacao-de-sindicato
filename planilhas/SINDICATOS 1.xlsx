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cmarinotti_latam_stefanini_com1/Documents/Desktop/Kit de Pre Vendas/Price/"/>
    </mc:Choice>
  </mc:AlternateContent>
  <xr:revisionPtr revIDLastSave="48" documentId="8_{2F9A1BE6-AA1E-447E-8AF2-B886AD62DEF3}" xr6:coauthVersionLast="47" xr6:coauthVersionMax="47" xr10:uidLastSave="{4B95E434-E9AE-45BD-A884-AEEB525B8B4B}"/>
  <bookViews>
    <workbookView xWindow="-120" yWindow="-120" windowWidth="20730" windowHeight="11040" xr2:uid="{26452017-99A5-4103-8238-34C348F58C22}"/>
  </bookViews>
  <sheets>
    <sheet name="SINDICATOS" sheetId="1" r:id="rId1"/>
  </sheets>
  <externalReferences>
    <externalReference r:id="rId2"/>
  </externalReferences>
  <definedNames>
    <definedName name="_xlnm._FilterDatabase" localSheetId="0" hidden="1">SINDICATOS!$D$2:$AD$30</definedName>
    <definedName name="ADS_CurrentRow">0</definedName>
    <definedName name="Arredondar_Preço">"Não"</definedName>
    <definedName name="CARGOS">" "</definedName>
    <definedName name="Cargos2">[1]Tabelas!$W:$W</definedName>
    <definedName name="CELULAR">[1]Tab_Custos!$A$8:$A$10</definedName>
    <definedName name="CIDADES_ISS">[1]Impostos!$C$3:$C$23</definedName>
    <definedName name="COFINS_NTI">[1]Impostos!$J$4</definedName>
    <definedName name="COFINS_TI">[1]Impostos!$J$3</definedName>
    <definedName name="COMPUTADOR">[1]Tab_Custos!$A$12:$A$18</definedName>
    <definedName name="Conta_do_custo">[1]Tab_Custos!$C$1:$C$72</definedName>
    <definedName name="Conta_do_Investimento">[1]Tab_Custos!$K$1:$K$31</definedName>
    <definedName name="CPRBMedia">[1]Impostos!$M$15</definedName>
    <definedName name="Data_Base">'[1]Dados da Oportunidade'!$E$6</definedName>
    <definedName name="Desonerado">'[1]Dados da Oportunidade'!$E$19</definedName>
    <definedName name="DSR">[1]Tabelas!$H$2</definedName>
    <definedName name="Enc_Fin">'[1]Dados da Oportunidade'!$E$8</definedName>
    <definedName name="Enc_Fin_Impl">'[1]Dados da Oportunidade'!$E$9</definedName>
    <definedName name="Enc_Sociais">[1]Impostos!$Q$11</definedName>
    <definedName name="EncSociaisMedios">[1]Impostos!$N$15</definedName>
    <definedName name="ESCALA">[1]!TabEscala[ESCALA]</definedName>
    <definedName name="ESTADO__SINDICATO">SINDICATOS!$D$2:$D$35</definedName>
    <definedName name="Fim_Fase1">'[1]Dados da Oportunidade'!$N$5</definedName>
    <definedName name="Fim_Fase2">'[1]Dados da Oportunidade'!$N$6</definedName>
    <definedName name="Fim_Fase3">'[1]Dados da Oportunidade'!$N$7</definedName>
    <definedName name="Fim_Fase4">'[1]Dados da Oportunidade'!$N$8</definedName>
    <definedName name="Fim_Fase5">'[1]Dados da Oportunidade'!$N$9</definedName>
    <definedName name="Horas_Por_Mes">'[1]Dados da Oportunidade'!$E$21</definedName>
    <definedName name="Idiomas">[1]Tabelas!$A$2:$A$4</definedName>
    <definedName name="Itens_de_custo">[1]Tab_Custos!$A$1:$A$72</definedName>
    <definedName name="Itens_de_investimentos">[1]Tab_Custos!$I$1:$I$31</definedName>
    <definedName name="Limite_projdissidio">[1]Projdissidio!$B$15</definedName>
    <definedName name="LinhasDeServicos">'[1]Resumo dos Custos'!$C$9:$C$49</definedName>
    <definedName name="lis_regime_de_presenca">[1]Tabelas!$AM$2:$AM$4</definedName>
    <definedName name="ListaCargos">[1]Tabelas!$AJ$3</definedName>
    <definedName name="ListaDelivery">[1]Tabelas!$AK$3</definedName>
    <definedName name="MB_Impl">'[1]Dados da Oportunidade'!$E$13</definedName>
    <definedName name="MB_Padrao">'[1]Dados da Oportunidade'!$E$12</definedName>
    <definedName name="Modelo_de_Remuneracao">[1]Tabelas!$U$2:$U$3</definedName>
    <definedName name="PIS_NTI">[1]Impostos!$I$4</definedName>
    <definedName name="PIS_TI">[1]Impostos!$I$3</definedName>
    <definedName name="REGRASSINDICATO">SINDICATOS!$D$3:$AH$32</definedName>
    <definedName name="Salario_Minimo_Nacional">[1]Tabelas!$H$3</definedName>
    <definedName name="SGA">'[1]Dados da Oportunidade'!$E$14</definedName>
    <definedName name="T_Fase2">'[1]Dados da Oportunidade'!$M$6</definedName>
    <definedName name="T_Fase3">'[1]Dados da Oportunidade'!$M$7</definedName>
    <definedName name="T_Fase4">'[1]Dados da Oportunidade'!$M$8</definedName>
    <definedName name="T_Fase5">'[1]Dados da Oportunidade'!$M$9</definedName>
    <definedName name="T_Fase6">'[1]Dados da Oportunidade'!$M$10</definedName>
    <definedName name="T_Implantação">'[1]Dados da Oportunidade'!$M$4</definedName>
    <definedName name="Tab_ISS">[1]Impostos!$C$2:$F$23</definedName>
    <definedName name="TAB_ISS_NTI">[1]Impostos!$E$3:$E$23</definedName>
    <definedName name="Tab_ISS_TI">[1]Impostos!$D$3:$D$23</definedName>
    <definedName name="Tab_PIS_COFINS">[1]Impostos!$H$2:$J$4</definedName>
    <definedName name="TabContasCusto">[1]Tabelas!$D$15:$D$26</definedName>
    <definedName name="Tempo_Contrato">'[1]Dados da Oportunidade'!$E$4</definedName>
    <definedName name="Tipo_Cliente">'[1]Dados da Oportunidade'!$B$6</definedName>
    <definedName name="Titulos_ISS">[1]Impostos!$C$2:$F$2</definedName>
    <definedName name="Titulos_PIS_COFINS">[1]Impostos!$H$2:$J$2</definedName>
    <definedName name="Torres_de_Serviço">[1]Tabelas!$AH$2:$AH$12</definedName>
    <definedName name="UF_SINDICATO">TabSindicatos[ESTADO/ SINDICATO]</definedName>
    <definedName name="Valor_do_Custo">[1]Tab_Custos!$D$1:$D$72</definedName>
    <definedName name="Valor_do_investimento">[1]Tab_Custos!$L$1:$L$31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<sst xmlns="http://schemas.openxmlformats.org/spreadsheetml/2006/main" count="142" uniqueCount="100">
  <si>
    <t>ESTADO/ SINDICATO</t>
  </si>
  <si>
    <t>HR SegSex</t>
  </si>
  <si>
    <t>HR Sabado</t>
  </si>
  <si>
    <t>HR Domingo</t>
  </si>
  <si>
    <t>ADICIONAL NOTURNO</t>
  </si>
  <si>
    <t>JORNADA DE TRABALHO</t>
  </si>
  <si>
    <t xml:space="preserve">VR Remuneração </t>
  </si>
  <si>
    <t>Assistência médica</t>
  </si>
  <si>
    <t>VR Custo</t>
  </si>
  <si>
    <t xml:space="preserve">Seguro </t>
  </si>
  <si>
    <t>DEFLATOR APP</t>
  </si>
  <si>
    <t>DEFLATOR ITO</t>
  </si>
  <si>
    <t>DEFLATOR BPO</t>
  </si>
  <si>
    <t>ATUALIZAÇÃO</t>
  </si>
  <si>
    <t>CODIGO DO SINDICATO</t>
  </si>
  <si>
    <t>SINDICATO</t>
  </si>
  <si>
    <t>ESTADO</t>
  </si>
  <si>
    <t>APLICÁVEL Á:</t>
  </si>
  <si>
    <t>Sobreaviso</t>
  </si>
  <si>
    <t>DATA VIGENCIA PISO</t>
  </si>
  <si>
    <t>INÍCIO VIGÊNCIA CCT</t>
  </si>
  <si>
    <t>Salário &lt;= 2999,99</t>
  </si>
  <si>
    <t>Salário &gt;= 3000,00</t>
  </si>
  <si>
    <t>OUTROS CUSTOS</t>
  </si>
  <si>
    <t>PLR</t>
  </si>
  <si>
    <t>Piso administrativo</t>
  </si>
  <si>
    <t>AC - SEAC</t>
  </si>
  <si>
    <t>SEAC</t>
  </si>
  <si>
    <t>AC</t>
  </si>
  <si>
    <t>CONSULTORIA, NETWORKING, SUNRISING, WOOPI, COMÉRCIO, VANGUARD, CAPITAL MARKET, INSPIRING, RAFAEL, UZTECH, PONTO CERTIFICADO, TOP SYSTEM, TECCLOUD, DISPARADA, TPZ, N1, DN.IA, CRK</t>
  </si>
  <si>
    <t>AL - SINDPD</t>
  </si>
  <si>
    <t>SINDPD</t>
  </si>
  <si>
    <t>AL</t>
  </si>
  <si>
    <t>AM - SINDPD</t>
  </si>
  <si>
    <t>AM</t>
  </si>
  <si>
    <t>AP - SINDPD</t>
  </si>
  <si>
    <t>AP</t>
  </si>
  <si>
    <t>BA - SINDADOS</t>
  </si>
  <si>
    <t>SINDADOS</t>
  </si>
  <si>
    <t>BA</t>
  </si>
  <si>
    <t>CE - SINDPD</t>
  </si>
  <si>
    <t>CE</t>
  </si>
  <si>
    <t>DF - SINDPD</t>
  </si>
  <si>
    <t>DF</t>
  </si>
  <si>
    <t>ES - SINDPD</t>
  </si>
  <si>
    <t>ES</t>
  </si>
  <si>
    <t>GO - SINDPD</t>
  </si>
  <si>
    <t>GO</t>
  </si>
  <si>
    <t>MA - SINDPD</t>
  </si>
  <si>
    <t>MA</t>
  </si>
  <si>
    <t>MG - SINDADOS</t>
  </si>
  <si>
    <t>MG</t>
  </si>
  <si>
    <t>MS - SPPD</t>
  </si>
  <si>
    <t>SPPD</t>
  </si>
  <si>
    <t>MS</t>
  </si>
  <si>
    <t>MT - SINDPD</t>
  </si>
  <si>
    <t>MT</t>
  </si>
  <si>
    <t>PA - SINDPD</t>
  </si>
  <si>
    <t>PA</t>
  </si>
  <si>
    <t>PB - SINDPD</t>
  </si>
  <si>
    <t>PB</t>
  </si>
  <si>
    <t>PE - SINDPD</t>
  </si>
  <si>
    <t>PE</t>
  </si>
  <si>
    <t>PI - SINDPD</t>
  </si>
  <si>
    <t>PI</t>
  </si>
  <si>
    <t>PR - SINTIPAR</t>
  </si>
  <si>
    <t>PR</t>
  </si>
  <si>
    <t>RJ - SINDPD</t>
  </si>
  <si>
    <t>RJ</t>
  </si>
  <si>
    <t>RN - SINDPD</t>
  </si>
  <si>
    <t>RN</t>
  </si>
  <si>
    <t>RO - SINTELPES</t>
  </si>
  <si>
    <t>SINTELPES</t>
  </si>
  <si>
    <t>RO</t>
  </si>
  <si>
    <t>RR - SINTECO</t>
  </si>
  <si>
    <t>SINTECO</t>
  </si>
  <si>
    <t>RR</t>
  </si>
  <si>
    <t>STEFANINI CONSULTORIA</t>
  </si>
  <si>
    <t>RS - SINDPD</t>
  </si>
  <si>
    <t>RS</t>
  </si>
  <si>
    <t>CONSULTORIA, NETWORKING, SUNRISING, WOOPI, COMÉRCIO, VANGUARD, CAPITAL MARKET, INSPIRING, RAFAEL, UZTECH, PONTO CERTIFICADO, TOP SYSTEM, TECCLOUD, DISPARADA, TPZ, N1, DN.IA, CRK, HUIA, TPZ Informática (Antiga Training)</t>
  </si>
  <si>
    <t>SC - SINDPD</t>
  </si>
  <si>
    <t>SC</t>
  </si>
  <si>
    <t>CONSULTORIA, NETWORKING, SUNRISING, WOOPI, COMÉRCIO, VANGUARD, CAPITAL MARKET, INSPIRING, RAFAEL, UZTECH, PONTO CERTIFICADO, TOP SYSTEM, TECCLOUD, DISPARADA, TPZ, N1, DN.IA, CRK, TPZ Informática (Antiga Training)</t>
  </si>
  <si>
    <t>SCJ - SINDPD - Joinville</t>
  </si>
  <si>
    <t>SINDPD - Joinville</t>
  </si>
  <si>
    <t>SCJ</t>
  </si>
  <si>
    <t>SE - SINDTIC</t>
  </si>
  <si>
    <t>SINDTIC</t>
  </si>
  <si>
    <t>SE</t>
  </si>
  <si>
    <t>SP - SINDPD</t>
  </si>
  <si>
    <t>SP</t>
  </si>
  <si>
    <t>TO - SINTRAESCO</t>
  </si>
  <si>
    <t>SINTRAESCO</t>
  </si>
  <si>
    <t>TO</t>
  </si>
  <si>
    <t xml:space="preserve"> </t>
  </si>
  <si>
    <t>FIM VIGÊNCIA CCT/ACT</t>
  </si>
  <si>
    <t>SINTIPAR</t>
  </si>
  <si>
    <t>PISO TECNICO SUPORTE JR</t>
  </si>
  <si>
    <t>VT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</si>
</sst>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name val="Arial"/>
      <family val="2"/>
    </font>
    <font>
      <b/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5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9" fontId="3" fillId="2" borderId="0" xfId="3" applyFont="1" applyFill="1" applyBorder="1" applyAlignment="1">
      <alignment horizontal="center" vertical="center" wrapText="1"/>
    </xf>
    <xf numFmtId="9" fontId="3" fillId="2" borderId="0" xfId="3" applyFont="1" applyFill="1" applyAlignment="1">
      <alignment horizontal="left" vertical="center" wrapText="1"/>
    </xf>
    <xf numFmtId="9" fontId="3" fillId="2" borderId="0" xfId="3" applyFont="1" applyFill="1" applyAlignment="1">
      <alignment horizontal="center" vertical="center" wrapText="1"/>
    </xf>
    <xf numFmtId="165" fontId="3" fillId="2" borderId="0" xfId="4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14" fontId="3" fillId="2" borderId="0" xfId="2" applyNumberFormat="1" applyFont="1" applyFill="1" applyAlignment="1">
      <alignment horizontal="center" vertical="center" wrapText="1"/>
    </xf>
    <xf numFmtId="0" fontId="4" fillId="2" borderId="0" xfId="2" applyFill="1"/>
    <xf numFmtId="164" fontId="0" fillId="0" borderId="0" xfId="5" applyFont="1" applyAlignment="1">
      <alignment horizontal="left" vertical="top"/>
    </xf>
    <xf numFmtId="9" fontId="0" fillId="0" borderId="0" xfId="1" applyFont="1" applyAlignment="1">
      <alignment horizontal="center" vertical="top"/>
    </xf>
    <xf numFmtId="10" fontId="0" fillId="0" borderId="0" xfId="1" applyNumberFormat="1" applyFont="1" applyAlignment="1">
      <alignment horizontal="center" vertical="top"/>
    </xf>
    <xf numFmtId="0" fontId="0" fillId="0" borderId="0" xfId="5" applyNumberFormat="1" applyFont="1" applyAlignment="1">
      <alignment horizontal="center" vertical="top"/>
    </xf>
    <xf numFmtId="14" fontId="0" fillId="0" borderId="0" xfId="5" applyNumberFormat="1" applyFont="1" applyAlignment="1">
      <alignment horizontal="center" vertical="top"/>
    </xf>
    <xf numFmtId="9" fontId="0" fillId="0" borderId="0" xfId="6" applyFont="1"/>
    <xf numFmtId="0" fontId="4" fillId="0" borderId="0" xfId="2" applyAlignment="1">
      <alignment horizontal="left" vertical="top"/>
    </xf>
    <xf numFmtId="9" fontId="0" fillId="0" borderId="0" xfId="3" applyFont="1" applyAlignment="1">
      <alignment horizontal="left" vertical="top"/>
    </xf>
    <xf numFmtId="0" fontId="4" fillId="2" borderId="0" xfId="2" applyFill="1" applyAlignment="1">
      <alignment horizontal="left" vertical="top"/>
    </xf>
    <xf numFmtId="0" fontId="4" fillId="2" borderId="0" xfId="2" applyFill="1" applyAlignment="1">
      <alignment horizontal="center"/>
    </xf>
    <xf numFmtId="9" fontId="0" fillId="2" borderId="0" xfId="3" applyFont="1" applyFill="1"/>
    <xf numFmtId="165" fontId="0" fillId="2" borderId="0" xfId="4" applyNumberFormat="1" applyFont="1" applyFill="1" applyBorder="1" applyAlignment="1">
      <alignment horizontal="center" vertical="center"/>
    </xf>
    <xf numFmtId="0" fontId="4" fillId="2" borderId="0" xfId="2" applyFill="1" applyAlignment="1">
      <alignment horizontal="left"/>
    </xf>
    <xf numFmtId="14" fontId="4" fillId="2" borderId="0" xfId="2" applyNumberFormat="1" applyFill="1" applyAlignment="1">
      <alignment horizontal="center"/>
    </xf>
    <xf numFmtId="14" fontId="4" fillId="2" borderId="0" xfId="2" applyNumberFormat="1" applyFill="1"/>
    <xf numFmtId="164" fontId="0" fillId="2" borderId="0" xfId="7" applyFont="1" applyFill="1"/>
    <xf numFmtId="0" fontId="9" fillId="2" borderId="0" xfId="2" applyFont="1" applyFill="1" applyAlignment="1">
      <alignment horizontal="center" vertical="center" wrapText="1"/>
    </xf>
    <xf numFmtId="0" fontId="0" fillId="3" borderId="1" xfId="5" applyNumberFormat="1" applyFont="1" applyFill="1" applyBorder="1" applyAlignment="1">
      <alignment horizontal="center" vertical="top"/>
    </xf>
    <xf numFmtId="0" fontId="0" fillId="4" borderId="1" xfId="5" applyNumberFormat="1" applyFont="1" applyFill="1" applyBorder="1" applyAlignment="1">
      <alignment horizontal="center" vertical="top"/>
    </xf>
    <xf numFmtId="0" fontId="0" fillId="4" borderId="2" xfId="5" applyNumberFormat="1" applyFont="1" applyFill="1" applyBorder="1" applyAlignment="1">
      <alignment horizontal="center" vertical="top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0" fillId="3" borderId="6" xfId="5" applyNumberFormat="1" applyFont="1" applyFill="1" applyBorder="1" applyAlignment="1">
      <alignment horizontal="center" vertical="top"/>
    </xf>
    <xf numFmtId="0" fontId="5" fillId="2" borderId="3" xfId="2" applyFont="1" applyFill="1" applyBorder="1" applyAlignment="1">
      <alignment horizontal="center" vertical="center" wrapText="1"/>
    </xf>
    <xf numFmtId="0" fontId="6" fillId="2" borderId="3" xfId="2" applyNumberFormat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9" fontId="3" fillId="2" borderId="3" xfId="3" applyFont="1" applyFill="1" applyBorder="1" applyAlignment="1">
      <alignment horizontal="center" vertical="center" wrapText="1"/>
    </xf>
    <xf numFmtId="9" fontId="3" fillId="2" borderId="3" xfId="3" applyFont="1" applyFill="1" applyBorder="1" applyAlignment="1">
      <alignment horizontal="left" vertical="center" wrapText="1"/>
    </xf>
    <xf numFmtId="165" fontId="3" fillId="2" borderId="3" xfId="4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14" fontId="3" fillId="2" borderId="3" xfId="2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 9" xfId="2" xr:uid="{296FA8E5-5023-4FBD-873D-5830A3DE3AA8}"/>
    <cellStyle name="Porcentagem" xfId="1" builtinId="5"/>
    <cellStyle name="Porcentagem 4 2" xfId="6" xr:uid="{9374883A-4109-4C4D-9293-1254EE9F4021}"/>
    <cellStyle name="Porcentagem 5" xfId="3" xr:uid="{5DCA93FD-AFC7-4A60-A0A9-279D962B0512}"/>
    <cellStyle name="Vírgula 2 2 2 2" xfId="4" xr:uid="{80D16C60-504D-4021-BFED-11AB200300AA}"/>
    <cellStyle name="Vírgula 7" xfId="5" xr:uid="{9BFE1E30-CC4E-40CF-BF93-3613A4EB26C8}"/>
    <cellStyle name="Vírgula 7 2" xfId="7" xr:uid="{A466F3EC-A914-455B-B086-379877A80828}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color auto="1"/>
        <name val="Arial"/>
        <family val="2"/>
      </font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</dxf>
    <dxf>
      <font>
        <color auto="1"/>
        <name val="Arial"/>
      </font>
      <numFmt numFmtId="19" formatCode="dd/mm/yyyy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efaninilatam-my.sharepoint.com/personal/cmarinotti_latam_stefanini_com1/Documents/Desktop/Kit%20de%20Pre%20Vendas/Price/BPO%20e%20ITO/000000%20-%20CLIENTE%20-%20PRICE%20-%20SERVI&#199;O%20ITO%20BPO%20-%20V8.3.xlsm" TargetMode="External"/><Relationship Id="rId1" Type="http://schemas.openxmlformats.org/officeDocument/2006/relationships/externalLinkPath" Target="BPO%20e%20ITO/000000%20-%20CLIENTE%20-%20PRICE%20-%20SERVI&#199;O%20ITO%20BPO%20-%20V8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oes"/>
      <sheetName val="Capa"/>
      <sheetName val="Intercompany"/>
      <sheetName val="Tela_Inicial"/>
      <sheetName val="Dados da Oportunidade"/>
      <sheetName val="SINDICATOS"/>
      <sheetName val="Remuneracao"/>
      <sheetName val="Ratecard"/>
      <sheetName val="Tabelas"/>
      <sheetName val="Tab_Custos"/>
      <sheetName val="Resumo dos Custos"/>
      <sheetName val="Pessoal"/>
      <sheetName val="Cotações"/>
      <sheetName val="Outros Custos"/>
      <sheetName val="Investimentos"/>
      <sheetName val="Implantação"/>
      <sheetName val="Resumo dos Preços"/>
      <sheetName val="SHOW PRICE"/>
      <sheetName val="Resumo Financeiro"/>
      <sheetName val="Proposta Comercial"/>
      <sheetName val="Reforma tributária"/>
      <sheetName val="Multas Rescisorias"/>
      <sheetName val="Visão Ano fiscal"/>
      <sheetName val="Pessoal Vendas"/>
      <sheetName val="Outros Custos Vendas"/>
      <sheetName val="Investimentos Vendas"/>
      <sheetName val="Implantação Vendas"/>
      <sheetName val="FluxoEscadaResumido"/>
      <sheetName val="FluxoFinanceiroFase"/>
      <sheetName val="FluxoFinanceiroAno"/>
      <sheetName val="Impostos"/>
      <sheetName val="FluxoFinanceiro BI"/>
      <sheetName val="Projdissidio"/>
      <sheetName val="000000 - CLIENTE - PRICE - SERV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E4">
            <v>60</v>
          </cell>
          <cell r="M4">
            <v>3</v>
          </cell>
        </row>
        <row r="5">
          <cell r="N5">
            <v>6</v>
          </cell>
        </row>
        <row r="6">
          <cell r="B6" t="str">
            <v>Privado</v>
          </cell>
          <cell r="E6">
            <v>46266</v>
          </cell>
          <cell r="M6">
            <v>6</v>
          </cell>
          <cell r="N6">
            <v>12</v>
          </cell>
        </row>
        <row r="7">
          <cell r="M7">
            <v>12</v>
          </cell>
          <cell r="N7">
            <v>24</v>
          </cell>
        </row>
        <row r="8">
          <cell r="E8">
            <v>0</v>
          </cell>
          <cell r="M8">
            <v>12</v>
          </cell>
          <cell r="N8">
            <v>36</v>
          </cell>
        </row>
        <row r="9">
          <cell r="E9">
            <v>1.4999999999999999E-2</v>
          </cell>
          <cell r="M9">
            <v>12</v>
          </cell>
          <cell r="N9">
            <v>48</v>
          </cell>
        </row>
        <row r="10">
          <cell r="M10">
            <v>12</v>
          </cell>
        </row>
        <row r="12">
          <cell r="E12">
            <v>0.39</v>
          </cell>
        </row>
        <row r="13">
          <cell r="E13">
            <v>0.39</v>
          </cell>
        </row>
        <row r="14">
          <cell r="E14">
            <v>0.1</v>
          </cell>
        </row>
        <row r="19">
          <cell r="E19" t="str">
            <v>Sim</v>
          </cell>
        </row>
        <row r="21">
          <cell r="E21">
            <v>160</v>
          </cell>
        </row>
      </sheetData>
      <sheetData sheetId="5"/>
      <sheetData sheetId="6" refreshError="1"/>
      <sheetData sheetId="7" refreshError="1"/>
      <sheetData sheetId="8">
        <row r="1">
          <cell r="W1" t="str">
            <v>Versão da pricer para verificação da versão mais atual</v>
          </cell>
        </row>
        <row r="2">
          <cell r="H2">
            <v>1.2</v>
          </cell>
          <cell r="U2" t="str">
            <v>GRADE</v>
          </cell>
          <cell r="W2" t="str">
            <v>7.1</v>
          </cell>
          <cell r="AH2" t="str">
            <v>BPO - Automação</v>
          </cell>
          <cell r="AM2" t="str">
            <v>Presencial</v>
          </cell>
        </row>
        <row r="3">
          <cell r="A3" t="str">
            <v>Bilíngue</v>
          </cell>
          <cell r="H3">
            <v>1518</v>
          </cell>
          <cell r="U3" t="str">
            <v>GRADE</v>
          </cell>
          <cell r="AH3" t="str">
            <v>BPO - ITSM</v>
          </cell>
          <cell r="AJ3" t="str">
            <v xml:space="preserve">Gerente de Serviços - </v>
          </cell>
          <cell r="AK3" t="str">
            <v>GS</v>
          </cell>
          <cell r="AM3" t="str">
            <v>Hibrido</v>
          </cell>
        </row>
        <row r="4">
          <cell r="A4" t="str">
            <v>Trilíngue</v>
          </cell>
          <cell r="AH4" t="str">
            <v>BPO - Financeiro</v>
          </cell>
          <cell r="AM4" t="str">
            <v>Remoto</v>
          </cell>
        </row>
        <row r="5">
          <cell r="AH5" t="str">
            <v>BPO - Atendimento</v>
          </cell>
        </row>
        <row r="6">
          <cell r="AH6" t="str">
            <v>DWS - SD</v>
          </cell>
        </row>
        <row r="7">
          <cell r="AH7" t="str">
            <v>DWS - FS</v>
          </cell>
        </row>
        <row r="8">
          <cell r="AH8" t="str">
            <v>ESM</v>
          </cell>
        </row>
        <row r="9">
          <cell r="AH9" t="str">
            <v>Cloud</v>
          </cell>
        </row>
        <row r="10">
          <cell r="AH10" t="str">
            <v>Woopi</v>
          </cell>
        </row>
        <row r="11">
          <cell r="AH11" t="str">
            <v>TI Interna</v>
          </cell>
        </row>
        <row r="12">
          <cell r="AH12" t="str">
            <v>Delivery</v>
          </cell>
        </row>
        <row r="15">
          <cell r="D15" t="str">
            <v>CDM8 - AJUDA DE CUSTO</v>
          </cell>
        </row>
        <row r="16">
          <cell r="D16" t="str">
            <v>CDM9 - OUTROS GASTOS COM PESSOAL</v>
          </cell>
        </row>
        <row r="17">
          <cell r="D17" t="str">
            <v>CDR1 - REPASSES</v>
          </cell>
        </row>
        <row r="18">
          <cell r="D18" t="str">
            <v>CDG1 - PA</v>
          </cell>
        </row>
        <row r="19">
          <cell r="D19" t="str">
            <v>CDG2 - MANUTENÇÃO DE EQUIPAMENTOS</v>
          </cell>
        </row>
        <row r="20">
          <cell r="D20" t="str">
            <v>CDG3 - VIAGENS E ESTADIAS</v>
          </cell>
        </row>
        <row r="21">
          <cell r="D21" t="str">
            <v>CDG4 - TRANSPORTES (TAXI, COMBUSTÍVEL, ESTACIONAMENTO)</v>
          </cell>
        </row>
        <row r="22">
          <cell r="D22" t="str">
            <v>CDG5 - LANCHES E REFEIÇÕES</v>
          </cell>
        </row>
        <row r="23">
          <cell r="D23" t="str">
            <v>CDG6 - OUTROS GASTOS DIRETOS</v>
          </cell>
        </row>
        <row r="24">
          <cell r="D24" t="str">
            <v>CDG7 - SUBCONTRATADO</v>
          </cell>
        </row>
        <row r="25">
          <cell r="D25" t="str">
            <v>CDG8 - INFRAESTRUTURA EXTERNA</v>
          </cell>
        </row>
        <row r="26">
          <cell r="D26" t="str">
            <v>CDG9 - FORNECEDORES</v>
          </cell>
        </row>
      </sheetData>
      <sheetData sheetId="9">
        <row r="1">
          <cell r="A1" t="str">
            <v>Item</v>
          </cell>
          <cell r="C1" t="str">
            <v>Conta contábil</v>
          </cell>
          <cell r="D1" t="str">
            <v>Custo</v>
          </cell>
          <cell r="I1" t="str">
            <v>Itens de investimento / custo anual</v>
          </cell>
          <cell r="L1" t="str">
            <v>Custo R$</v>
          </cell>
        </row>
        <row r="2">
          <cell r="C2" t="str">
            <v>CDG6 - OUTROS GASTOS DIRETOS</v>
          </cell>
          <cell r="D2">
            <v>0</v>
          </cell>
          <cell r="K2" t="str">
            <v>CDG6 - OUTROS GASTOS DIRETOS</v>
          </cell>
          <cell r="L2">
            <v>0</v>
          </cell>
        </row>
        <row r="3">
          <cell r="A3" t="str">
            <v>0800</v>
          </cell>
          <cell r="C3" t="str">
            <v>CDR1 - REPASSES</v>
          </cell>
          <cell r="I3" t="str">
            <v>kit 5 camisas polo</v>
          </cell>
          <cell r="K3" t="str">
            <v>CDG6 - OUTROS GASTOS DIRETOS</v>
          </cell>
          <cell r="L3">
            <v>216</v>
          </cell>
        </row>
        <row r="4">
          <cell r="A4" t="str">
            <v>Ajuda de custo</v>
          </cell>
          <cell r="C4" t="str">
            <v>CDM8 - AJUDA DE CUSTO</v>
          </cell>
          <cell r="D4">
            <v>60</v>
          </cell>
          <cell r="I4" t="str">
            <v>kit 5 camisas sociais</v>
          </cell>
          <cell r="K4" t="str">
            <v>CDG6 - OUTROS GASTOS DIRETOS</v>
          </cell>
          <cell r="L4">
            <v>341</v>
          </cell>
        </row>
        <row r="5">
          <cell r="A5" t="str">
            <v>BI - Sustentação por pg com 6 gráficos</v>
          </cell>
          <cell r="C5" t="str">
            <v>CDR1 - REPASSES</v>
          </cell>
          <cell r="D5">
            <v>100</v>
          </cell>
          <cell r="I5" t="str">
            <v>Celular - compra</v>
          </cell>
          <cell r="K5" t="str">
            <v>CDG6 - OUTROS GASTOS DIRETOS</v>
          </cell>
          <cell r="L5">
            <v>1200</v>
          </cell>
        </row>
        <row r="6">
          <cell r="A6" t="str">
            <v>BI - Zoho - 100.000 linhas para armazenamento</v>
          </cell>
          <cell r="C6" t="str">
            <v>CDR1 - REPASSES</v>
          </cell>
          <cell r="D6">
            <v>80</v>
          </cell>
          <cell r="I6" t="str">
            <v>Monitor 24"</v>
          </cell>
          <cell r="K6" t="str">
            <v>CDG6 - OUTROS GASTOS DIRETOS</v>
          </cell>
          <cell r="L6">
            <v>1064.6399999999999</v>
          </cell>
        </row>
        <row r="7">
          <cell r="A7" t="str">
            <v>BI - Zoho - Manutenção da Base de Dados (valor hora)</v>
          </cell>
          <cell r="C7" t="str">
            <v>CDR1 - REPASSES</v>
          </cell>
          <cell r="D7">
            <v>101.14</v>
          </cell>
          <cell r="I7" t="str">
            <v>Monitor 27 "</v>
          </cell>
          <cell r="K7" t="str">
            <v>CDG6 - OUTROS GASTOS DIRETOS</v>
          </cell>
          <cell r="L7">
            <v>1962.2400000000002</v>
          </cell>
        </row>
        <row r="8">
          <cell r="A8" t="str">
            <v>Celular - Franquia 30G</v>
          </cell>
          <cell r="C8" t="str">
            <v>CDR1 - REPASSES</v>
          </cell>
          <cell r="D8">
            <v>55</v>
          </cell>
          <cell r="I8" t="str">
            <v>Teclado e mouse wireless</v>
          </cell>
          <cell r="K8" t="str">
            <v>CDG6 - OUTROS GASTOS DIRETOS</v>
          </cell>
          <cell r="L8">
            <v>214.56</v>
          </cell>
        </row>
        <row r="9">
          <cell r="A9" t="str">
            <v>Celular - Franquia 10G</v>
          </cell>
          <cell r="C9" t="str">
            <v>CDR1 - REPASSES</v>
          </cell>
          <cell r="D9">
            <v>30</v>
          </cell>
          <cell r="I9" t="str">
            <v>Dock Station</v>
          </cell>
          <cell r="K9" t="str">
            <v>CDG6 - OUTROS GASTOS DIRETOS</v>
          </cell>
          <cell r="L9">
            <v>927.36</v>
          </cell>
        </row>
        <row r="10">
          <cell r="A10" t="str">
            <v>Celular - Franquia 5G</v>
          </cell>
          <cell r="C10" t="str">
            <v>CDR1 - REPASSES</v>
          </cell>
          <cell r="D10">
            <v>20</v>
          </cell>
          <cell r="I10" t="str">
            <v>Cabo de segurança</v>
          </cell>
          <cell r="K10" t="str">
            <v>CDG6 - OUTROS GASTOS DIRETOS</v>
          </cell>
          <cell r="L10">
            <v>70</v>
          </cell>
        </row>
        <row r="11">
          <cell r="A11" t="str">
            <v>Custo SophieX</v>
          </cell>
          <cell r="C11" t="str">
            <v>CDR1 - REPASSES</v>
          </cell>
          <cell r="I11" t="str">
            <v>Headset Felitron</v>
          </cell>
          <cell r="K11" t="str">
            <v>CDG6 - OUTROS GASTOS DIRETOS</v>
          </cell>
          <cell r="L11">
            <v>230</v>
          </cell>
        </row>
        <row r="12">
          <cell r="A12" t="str">
            <v>HW - Desktop i3</v>
          </cell>
          <cell r="C12" t="str">
            <v>CDR1 - REPASSES</v>
          </cell>
          <cell r="D12">
            <v>0</v>
          </cell>
          <cell r="I12" t="str">
            <v>Maleta de Ferramentas padrão</v>
          </cell>
          <cell r="K12" t="str">
            <v>CDG6 - OUTROS GASTOS DIRETOS</v>
          </cell>
          <cell r="L12">
            <v>450</v>
          </cell>
        </row>
        <row r="13">
          <cell r="A13" t="str">
            <v>HW - Desktop i5</v>
          </cell>
          <cell r="C13" t="str">
            <v>CDR1 - REPASSES</v>
          </cell>
          <cell r="D13">
            <v>0</v>
          </cell>
          <cell r="I13" t="str">
            <v>Maleta de Ferramentas - Cabling</v>
          </cell>
          <cell r="K13" t="str">
            <v>CDG6 - OUTROS GASTOS DIRETOS</v>
          </cell>
          <cell r="L13">
            <v>550</v>
          </cell>
        </row>
        <row r="14">
          <cell r="A14" t="str">
            <v>HW - Notebook i3</v>
          </cell>
          <cell r="C14" t="str">
            <v>CDR1 - REPASSES</v>
          </cell>
          <cell r="D14">
            <v>0</v>
          </cell>
          <cell r="I14" t="str">
            <v>Fluke</v>
          </cell>
          <cell r="K14" t="str">
            <v>CDG6 - OUTROS GASTOS DIRETOS</v>
          </cell>
        </row>
        <row r="15">
          <cell r="A15" t="str">
            <v>HW - Notebook i5</v>
          </cell>
          <cell r="C15" t="str">
            <v>CDR1 - REPASSES</v>
          </cell>
          <cell r="D15">
            <v>13.930000000000007</v>
          </cell>
          <cell r="I15" t="str">
            <v>EPIs</v>
          </cell>
          <cell r="K15" t="str">
            <v>CDG6 - OUTROS GASTOS DIRETOS</v>
          </cell>
        </row>
        <row r="16">
          <cell r="A16" t="str">
            <v>HW - Notebook i7 - DEV 1</v>
          </cell>
          <cell r="C16" t="str">
            <v>CDR1 - REPASSES</v>
          </cell>
          <cell r="D16">
            <v>30.070000000000007</v>
          </cell>
          <cell r="I16" t="str">
            <v>Equipamentos de backup</v>
          </cell>
          <cell r="K16" t="str">
            <v>CDG6 - OUTROS GASTOS DIRETOS</v>
          </cell>
        </row>
        <row r="17">
          <cell r="A17" t="str">
            <v>HW - Notebook i7 - DEV 2</v>
          </cell>
          <cell r="C17" t="str">
            <v>CDR1 - REPASSES</v>
          </cell>
          <cell r="D17">
            <v>38.100000000000009</v>
          </cell>
          <cell r="I17" t="str">
            <v>Estoque inicial de Peças para Reposição</v>
          </cell>
          <cell r="K17" t="str">
            <v>CDG6 - OUTROS GASTOS DIRETOS</v>
          </cell>
        </row>
        <row r="18">
          <cell r="A18" t="str">
            <v>HW - Notebook i7 - DEV 3</v>
          </cell>
          <cell r="C18" t="str">
            <v>CDR1 - REPASSES</v>
          </cell>
          <cell r="D18">
            <v>46.2</v>
          </cell>
          <cell r="I18" t="str">
            <v>Estoque inicial de Peças para Reposição</v>
          </cell>
          <cell r="K18" t="str">
            <v>CDG6 - OUTROS GASTOS DIRETOS</v>
          </cell>
        </row>
        <row r="19">
          <cell r="A19" t="str">
            <v>HW - Notebook Diretoria</v>
          </cell>
          <cell r="C19" t="str">
            <v>CDR1 - REPASSES</v>
          </cell>
          <cell r="D19">
            <v>85.350000000000009</v>
          </cell>
          <cell r="I19" t="str">
            <v>Leitor de código de barras (Inventário)</v>
          </cell>
          <cell r="K19" t="str">
            <v>CDG6 - OUTROS GASTOS DIRETOS</v>
          </cell>
        </row>
        <row r="20">
          <cell r="A20" t="str">
            <v>Link - Golden Jumper</v>
          </cell>
          <cell r="C20" t="str">
            <v>CDG6 - OUTROS GASTOS DIRETOS</v>
          </cell>
          <cell r="D20">
            <v>2200</v>
          </cell>
          <cell r="I20" t="str">
            <v>Etiquetas para inventário</v>
          </cell>
          <cell r="K20" t="str">
            <v>CDG6 - OUTROS GASTOS DIRETOS</v>
          </cell>
        </row>
        <row r="21">
          <cell r="A21" t="str">
            <v>Link - AntiDDoS</v>
          </cell>
          <cell r="C21" t="str">
            <v>CDR1 - REPASSES</v>
          </cell>
          <cell r="D21">
            <v>1800</v>
          </cell>
          <cell r="I21" t="str">
            <v>SW - M365 F3</v>
          </cell>
          <cell r="K21" t="str">
            <v>CDG6 - OUTROS GASTOS DIRETOS</v>
          </cell>
          <cell r="L21">
            <v>282.27</v>
          </cell>
        </row>
        <row r="22">
          <cell r="A22" t="str">
            <v>Link - Internet 100Mbps</v>
          </cell>
          <cell r="C22" t="str">
            <v>CDR1 - REPASSES</v>
          </cell>
          <cell r="D22">
            <v>2000</v>
          </cell>
          <cell r="I22" t="str">
            <v>SW - O365 E1 Plus Online</v>
          </cell>
          <cell r="K22" t="str">
            <v>CDG6 - OUTROS GASTOS DIRETOS</v>
          </cell>
          <cell r="L22">
            <v>0</v>
          </cell>
        </row>
        <row r="23">
          <cell r="A23" t="str">
            <v>Link - Internet 1Gbps</v>
          </cell>
          <cell r="C23" t="str">
            <v>CDR1 - REPASSES</v>
          </cell>
          <cell r="D23">
            <v>7800</v>
          </cell>
          <cell r="I23" t="str">
            <v>SW - O365 E1 Plus Desktop</v>
          </cell>
          <cell r="K23" t="str">
            <v>CDG6 - OUTROS GASTOS DIRETOS</v>
          </cell>
          <cell r="L23">
            <v>1565.69</v>
          </cell>
        </row>
        <row r="24">
          <cell r="A24" t="str">
            <v>Link - Internet 300Mbps</v>
          </cell>
          <cell r="C24" t="str">
            <v>CDR1 - REPASSES</v>
          </cell>
          <cell r="D24">
            <v>5200</v>
          </cell>
          <cell r="I24" t="str">
            <v>SW - Power Apps</v>
          </cell>
          <cell r="K24" t="str">
            <v>CDG6 - OUTROS GASTOS DIRETOS</v>
          </cell>
          <cell r="L24">
            <v>1237.19</v>
          </cell>
        </row>
        <row r="25">
          <cell r="A25" t="str">
            <v>Link - Internet 500Mbps</v>
          </cell>
          <cell r="C25" t="str">
            <v>CDR1 - REPASSES</v>
          </cell>
          <cell r="D25">
            <v>6000</v>
          </cell>
          <cell r="I25" t="str">
            <v>SW - Project Plan 3</v>
          </cell>
          <cell r="K25" t="str">
            <v>CDG6 - OUTROS GASTOS DIRETOS</v>
          </cell>
          <cell r="L25">
            <v>1391.38</v>
          </cell>
        </row>
        <row r="26">
          <cell r="A26" t="str">
            <v>Link - MPLS 100Mbps</v>
          </cell>
          <cell r="C26" t="str">
            <v>CDR1 - REPASSES</v>
          </cell>
          <cell r="D26">
            <v>2200</v>
          </cell>
          <cell r="I26" t="str">
            <v>SW - Visio Plan 2</v>
          </cell>
          <cell r="K26" t="str">
            <v>CDG6 - OUTROS GASTOS DIRETOS</v>
          </cell>
          <cell r="L26">
            <v>695.69</v>
          </cell>
        </row>
        <row r="27">
          <cell r="A27" t="str">
            <v>Link - MPLS 10Mbps</v>
          </cell>
          <cell r="C27" t="str">
            <v>CDR1 - REPASSES</v>
          </cell>
          <cell r="D27">
            <v>1400</v>
          </cell>
          <cell r="I27" t="str">
            <v>SW - Power Automate Premium</v>
          </cell>
          <cell r="K27" t="str">
            <v>CDG6 - OUTROS GASTOS DIRETOS</v>
          </cell>
          <cell r="L27">
            <v>927.82</v>
          </cell>
        </row>
        <row r="28">
          <cell r="A28" t="str">
            <v>Link - MPLS 500Mbps</v>
          </cell>
          <cell r="C28" t="str">
            <v>CDR1 - REPASSES</v>
          </cell>
          <cell r="D28">
            <v>6500</v>
          </cell>
          <cell r="I28" t="str">
            <v>SW - M365 Copilot</v>
          </cell>
          <cell r="K28" t="str">
            <v>CDG6 - OUTROS GASTOS DIRETOS</v>
          </cell>
          <cell r="L28">
            <v>2159.15</v>
          </cell>
        </row>
        <row r="29">
          <cell r="A29" t="str">
            <v>Link - MPLS 1Gbps</v>
          </cell>
          <cell r="C29" t="str">
            <v>CDR1 - REPASSES</v>
          </cell>
          <cell r="D29">
            <v>9500</v>
          </cell>
          <cell r="I29" t="str">
            <v>SW - MSDN Visual Studio Pro</v>
          </cell>
          <cell r="K29" t="str">
            <v>CDG6 - OUTROS GASTOS DIRETOS</v>
          </cell>
          <cell r="L29">
            <v>10716.79</v>
          </cell>
        </row>
        <row r="30">
          <cell r="A30" t="str">
            <v>Link - MPLS 300Mbps</v>
          </cell>
          <cell r="C30" t="str">
            <v>CDR1 - REPASSES</v>
          </cell>
          <cell r="D30">
            <v>3000</v>
          </cell>
          <cell r="I30" t="str">
            <v>Etiquetadora</v>
          </cell>
          <cell r="K30" t="str">
            <v>CDG6 - OUTROS GASTOS DIRETOS</v>
          </cell>
          <cell r="L30">
            <v>500</v>
          </cell>
        </row>
        <row r="31">
          <cell r="A31" t="str">
            <v>Link - MPLS 50Mbps</v>
          </cell>
          <cell r="C31" t="str">
            <v>CDR1 - REPASSES</v>
          </cell>
          <cell r="D31">
            <v>1700</v>
          </cell>
          <cell r="I31" t="str">
            <v>FIM DA TABELA</v>
          </cell>
        </row>
        <row r="32">
          <cell r="A32" t="str">
            <v>Link - AntiDDoS</v>
          </cell>
          <cell r="C32" t="str">
            <v>CDR1 - REPASSES</v>
          </cell>
          <cell r="D32">
            <v>1800</v>
          </cell>
        </row>
        <row r="33">
          <cell r="A33" t="str">
            <v>NOC - Bom dia / Crise / Dashboard - usar calculadora</v>
          </cell>
          <cell r="C33" t="str">
            <v>CDR1 - REPASSES</v>
          </cell>
        </row>
        <row r="34">
          <cell r="A34" t="str">
            <v>NOC - Monitoração por IC - usar calculadora</v>
          </cell>
          <cell r="C34" t="str">
            <v>CDR1 - REPASSES</v>
          </cell>
        </row>
        <row r="35">
          <cell r="A35" t="str">
            <v>NOC - Zabbix mensal - usar calculadora</v>
          </cell>
          <cell r="C35" t="str">
            <v>CDR1 - REPASSES</v>
          </cell>
        </row>
        <row r="36">
          <cell r="A36" t="str">
            <v>PA - Cliente ou home office</v>
          </cell>
          <cell r="C36" t="str">
            <v>CDG1 - PA</v>
          </cell>
          <cell r="D36">
            <v>0</v>
          </cell>
        </row>
        <row r="37">
          <cell r="A37" t="str">
            <v>PA - Operações na Stefanini</v>
          </cell>
          <cell r="C37" t="str">
            <v>CDG1 - PA</v>
          </cell>
        </row>
        <row r="38">
          <cell r="A38" t="str">
            <v>SW - Easy Inventory Agente COM Geolocalização</v>
          </cell>
          <cell r="C38" t="str">
            <v>CDG9 - FORNECEDORES</v>
          </cell>
          <cell r="D38">
            <v>2.25</v>
          </cell>
        </row>
        <row r="39">
          <cell r="A39" t="str">
            <v>SW - Easy Inventory Agente SEM Geolocalização</v>
          </cell>
          <cell r="C39" t="str">
            <v>CDG9 - FORNECEDORES</v>
          </cell>
          <cell r="D39">
            <v>2.15</v>
          </cell>
        </row>
        <row r="40">
          <cell r="A40" t="str">
            <v>SW - Easy Inventory Periféricos</v>
          </cell>
          <cell r="C40" t="str">
            <v>CDG9 - FORNECEDORES</v>
          </cell>
          <cell r="D40">
            <v>0.7</v>
          </cell>
        </row>
        <row r="41">
          <cell r="A41" t="str">
            <v>SW - Easy Inventory MDM</v>
          </cell>
          <cell r="C41" t="str">
            <v>CDG9 - FORNECEDORES</v>
          </cell>
          <cell r="D41">
            <v>2.4</v>
          </cell>
        </row>
        <row r="42">
          <cell r="A42" t="str">
            <v>SW - Easy Inventory Acesso Remoto</v>
          </cell>
          <cell r="C42" t="str">
            <v>CDG9 - FORNECEDORES</v>
          </cell>
          <cell r="D42">
            <v>80</v>
          </cell>
        </row>
        <row r="43">
          <cell r="A43" t="str">
            <v>SW - ServiceAide com RO - Licença Concorrente</v>
          </cell>
          <cell r="C43" t="str">
            <v>CDG9 - FORNECEDORES</v>
          </cell>
          <cell r="D43">
            <v>471.68</v>
          </cell>
        </row>
        <row r="44">
          <cell r="A44" t="str">
            <v>SW - ServiceAide com RO - Licença Nomeada</v>
          </cell>
          <cell r="C44" t="str">
            <v>CDG9 - FORNECEDORES</v>
          </cell>
          <cell r="D44">
            <v>188.67</v>
          </cell>
        </row>
        <row r="45">
          <cell r="A45" t="str">
            <v>SW - Qualitor Licença mensal</v>
          </cell>
          <cell r="C45" t="str">
            <v>CDR1 - REPASSES</v>
          </cell>
          <cell r="D45">
            <v>156.97</v>
          </cell>
        </row>
        <row r="46">
          <cell r="A46" t="str">
            <v>SW - Qualitor Hora de sustentação</v>
          </cell>
          <cell r="C46" t="str">
            <v>CDR1 - REPASSES</v>
          </cell>
          <cell r="D46">
            <v>88</v>
          </cell>
        </row>
        <row r="47">
          <cell r="A47" t="str">
            <v>Torre FS - Taxa adm</v>
          </cell>
          <cell r="C47" t="str">
            <v>CDR1 - REPASSES</v>
          </cell>
          <cell r="D47">
            <v>200</v>
          </cell>
        </row>
        <row r="48">
          <cell r="A48" t="str">
            <v>Torre FS - CIP (custo/hora)</v>
          </cell>
          <cell r="C48" t="str">
            <v>CDR1 - REPASSES</v>
          </cell>
          <cell r="D48">
            <v>69.42</v>
          </cell>
        </row>
        <row r="49">
          <cell r="A49" t="str">
            <v>Torre FS - Chamados consultar LPU Field</v>
          </cell>
          <cell r="C49" t="str">
            <v>CDR1 - REPASSES</v>
          </cell>
        </row>
        <row r="50">
          <cell r="A50" t="str">
            <v>Torre FS - Fretes</v>
          </cell>
          <cell r="C50" t="str">
            <v>CDG4 - TRANSPORTES (TAXI, COMBUSTÍVEL, ESTACIONAMENTO)</v>
          </cell>
        </row>
        <row r="51">
          <cell r="A51" t="str">
            <v>Torre FS - Km parceiros acima de 50Km</v>
          </cell>
          <cell r="C51" t="str">
            <v>CDG6 - OUTROS GASTOS DIRETOS</v>
          </cell>
        </row>
        <row r="52">
          <cell r="A52" t="str">
            <v>Torre FS - Peças de reposição</v>
          </cell>
          <cell r="C52" t="str">
            <v>CDG6 - OUTROS GASTOS DIRETOS</v>
          </cell>
        </row>
        <row r="53">
          <cell r="A53" t="str">
            <v>Torre FS - Reparos por Terceiros</v>
          </cell>
          <cell r="C53" t="str">
            <v>CDG6 - OUTROS GASTOS DIRETOS</v>
          </cell>
        </row>
        <row r="54">
          <cell r="A54" t="str">
            <v>Torre FS - Reposição de EPI's</v>
          </cell>
          <cell r="C54" t="str">
            <v>CDG6 - OUTROS GASTOS DIRETOS</v>
          </cell>
        </row>
        <row r="55">
          <cell r="A55" t="str">
            <v>Torre SD - 50 Chamados do Sinergia</v>
          </cell>
          <cell r="C55" t="str">
            <v>CDR1 - REPASSES</v>
          </cell>
          <cell r="D55">
            <v>2500</v>
          </cell>
        </row>
        <row r="56">
          <cell r="A56" t="str">
            <v>Torre SD - Sw monitoração de performance</v>
          </cell>
          <cell r="C56" t="str">
            <v>CDR1 - REPASSES</v>
          </cell>
          <cell r="D56">
            <v>0</v>
          </cell>
        </row>
        <row r="57">
          <cell r="A57" t="str">
            <v>Torre SD - Monitoria</v>
          </cell>
          <cell r="C57" t="str">
            <v>CDR1 - REPASSES</v>
          </cell>
          <cell r="D57">
            <v>27</v>
          </cell>
        </row>
        <row r="58">
          <cell r="A58" t="str">
            <v>Torre SD - Reposição de headsets</v>
          </cell>
          <cell r="C58" t="str">
            <v>CDG6 - OUTROS GASTOS DIRETOS</v>
          </cell>
          <cell r="D58">
            <v>17.5</v>
          </cell>
        </row>
        <row r="59">
          <cell r="A59" t="str">
            <v>Torre SD - Taxa adm</v>
          </cell>
          <cell r="C59" t="str">
            <v>CDR1 - REPASSES</v>
          </cell>
          <cell r="D59">
            <v>215</v>
          </cell>
        </row>
        <row r="60">
          <cell r="A60" t="str">
            <v>Transporte - Aluguel de veículos</v>
          </cell>
          <cell r="C60" t="str">
            <v>CDG4 - TRANSPORTES (TAXI, COMBUSTÍVEL, ESTACIONAMENTO)</v>
          </cell>
          <cell r="D60">
            <v>2120</v>
          </cell>
        </row>
        <row r="61">
          <cell r="A61" t="str">
            <v>Transporte - KM carro proprio</v>
          </cell>
          <cell r="C61" t="str">
            <v>CDG6 - OUTROS GASTOS DIRETOS</v>
          </cell>
          <cell r="D61">
            <v>0.98</v>
          </cell>
        </row>
        <row r="62">
          <cell r="A62" t="str">
            <v>Transporte - Depreciação carro próprio</v>
          </cell>
          <cell r="C62" t="str">
            <v>CDG6 - OUTROS GASTOS DIRETOS</v>
          </cell>
          <cell r="D62">
            <v>800</v>
          </cell>
        </row>
        <row r="63">
          <cell r="A63" t="str">
            <v>Transporte - KM carro Stefanini / Moto</v>
          </cell>
          <cell r="C63" t="str">
            <v>CDG6 - OUTROS GASTOS DIRETOS</v>
          </cell>
          <cell r="D63">
            <v>0.44</v>
          </cell>
        </row>
        <row r="64">
          <cell r="A64" t="str">
            <v>Viagens da gestão</v>
          </cell>
          <cell r="C64" t="str">
            <v>CDG3 - VIAGENS E ESTADIAS</v>
          </cell>
        </row>
        <row r="65">
          <cell r="A65" t="str">
            <v>VPN - Taxa de instalação</v>
          </cell>
          <cell r="C65" t="str">
            <v>CDR1 - REPASSES</v>
          </cell>
          <cell r="D65">
            <v>484.38</v>
          </cell>
        </row>
        <row r="66">
          <cell r="A66" t="str">
            <v>VPN 10 Mbps</v>
          </cell>
          <cell r="C66" t="str">
            <v>CDR1 - REPASSES</v>
          </cell>
          <cell r="D66">
            <v>268.67</v>
          </cell>
        </row>
        <row r="67">
          <cell r="A67" t="str">
            <v>VPN 2 Mbps</v>
          </cell>
          <cell r="C67" t="str">
            <v>CDR1 - REPASSES</v>
          </cell>
          <cell r="D67">
            <v>111.26</v>
          </cell>
        </row>
        <row r="68">
          <cell r="A68" t="str">
            <v>VPN 20 Mbps</v>
          </cell>
          <cell r="C68" t="str">
            <v>CDR1 - REPASSES</v>
          </cell>
          <cell r="D68">
            <v>465.42</v>
          </cell>
        </row>
        <row r="69">
          <cell r="A69" t="str">
            <v>VPN 5 Mbps</v>
          </cell>
          <cell r="C69" t="str">
            <v>CDR1 - REPASSES</v>
          </cell>
          <cell r="D69">
            <v>170.29</v>
          </cell>
        </row>
        <row r="70">
          <cell r="A70" t="str">
            <v>Woopi - Curadoria baixa complexidade</v>
          </cell>
          <cell r="C70" t="str">
            <v>CDR1 - REPASSES</v>
          </cell>
          <cell r="D70">
            <v>4200</v>
          </cell>
        </row>
        <row r="71">
          <cell r="A71" t="str">
            <v>Woopi - Curadoria média e alta complexidade</v>
          </cell>
          <cell r="C71" t="str">
            <v>CDR1 - REPASSES</v>
          </cell>
          <cell r="D71">
            <v>5600</v>
          </cell>
        </row>
        <row r="72">
          <cell r="A72" t="str">
            <v>FIM DA TABELA</v>
          </cell>
        </row>
      </sheetData>
      <sheetData sheetId="10">
        <row r="9">
          <cell r="C9" t="str">
            <v>GESTÃO RATEADA</v>
          </cell>
        </row>
        <row r="10">
          <cell r="C10" t="str">
            <v>SD - N1</v>
          </cell>
        </row>
        <row r="11">
          <cell r="C11" t="str">
            <v>SD - N1,5</v>
          </cell>
        </row>
        <row r="12">
          <cell r="C12" t="str">
            <v>SD - Gestão de Acessos</v>
          </cell>
        </row>
        <row r="13">
          <cell r="C13" t="str">
            <v>Atendimento Tatico</v>
          </cell>
        </row>
        <row r="14">
          <cell r="C14" t="str">
            <v>LINK / 0800</v>
          </cell>
        </row>
        <row r="15">
          <cell r="C15" t="str">
            <v>Field Services</v>
          </cell>
        </row>
        <row r="16">
          <cell r="C16" t="str">
            <v>Gestão de Ativos</v>
          </cell>
        </row>
        <row r="17">
          <cell r="C17" t="str">
            <v>ITSM</v>
          </cell>
        </row>
        <row r="18">
          <cell r="C18" t="str">
            <v>Ferramenta PABX / Chat</v>
          </cell>
        </row>
        <row r="19">
          <cell r="C19" t="str">
            <v>SophieX - voz e texto</v>
          </cell>
        </row>
        <row r="20">
          <cell r="C20" t="str">
            <v>RPA</v>
          </cell>
        </row>
        <row r="21">
          <cell r="C21" t="str">
            <v>NOC - Observability</v>
          </cell>
        </row>
        <row r="22">
          <cell r="C22" t="str">
            <v>Command Center</v>
          </cell>
        </row>
        <row r="23">
          <cell r="C23" t="str">
            <v>Bloco 14</v>
          </cell>
        </row>
        <row r="24">
          <cell r="C24" t="str">
            <v>Bloco 15</v>
          </cell>
        </row>
        <row r="25">
          <cell r="C25" t="str">
            <v>Bloco 16</v>
          </cell>
        </row>
        <row r="26">
          <cell r="C26" t="str">
            <v>Bloco 17</v>
          </cell>
        </row>
        <row r="27">
          <cell r="C27" t="str">
            <v>Bloco 18</v>
          </cell>
        </row>
        <row r="28">
          <cell r="C28" t="str">
            <v>Bloco 19</v>
          </cell>
        </row>
        <row r="29">
          <cell r="C29" t="str">
            <v>Bloco 20</v>
          </cell>
        </row>
        <row r="30">
          <cell r="C30" t="str">
            <v>Bloco 21</v>
          </cell>
        </row>
        <row r="31">
          <cell r="C31" t="str">
            <v>Bloco 22</v>
          </cell>
        </row>
        <row r="32">
          <cell r="C32" t="str">
            <v>Bloco 23</v>
          </cell>
        </row>
        <row r="33">
          <cell r="C33" t="str">
            <v>Bloco 24</v>
          </cell>
        </row>
        <row r="34">
          <cell r="C34" t="str">
            <v>Bloco 25</v>
          </cell>
        </row>
        <row r="35">
          <cell r="C35" t="str">
            <v>Bloco 26</v>
          </cell>
        </row>
        <row r="36">
          <cell r="C36" t="str">
            <v>Bloco 27</v>
          </cell>
        </row>
        <row r="37">
          <cell r="C37" t="str">
            <v>Bloco 28</v>
          </cell>
        </row>
        <row r="38">
          <cell r="C38" t="str">
            <v>Bloco 29</v>
          </cell>
        </row>
        <row r="39">
          <cell r="C39" t="str">
            <v>Bloco 30</v>
          </cell>
        </row>
        <row r="40">
          <cell r="C40" t="str">
            <v>Bloco 31</v>
          </cell>
        </row>
        <row r="41">
          <cell r="C41" t="str">
            <v>Bloco 32</v>
          </cell>
        </row>
        <row r="42">
          <cell r="C42" t="str">
            <v>Bloco 33</v>
          </cell>
        </row>
        <row r="43">
          <cell r="C43" t="str">
            <v>Bloco 34</v>
          </cell>
        </row>
        <row r="44">
          <cell r="C44" t="str">
            <v>Bloco 35</v>
          </cell>
        </row>
        <row r="45">
          <cell r="C45" t="str">
            <v>Bloco 36</v>
          </cell>
        </row>
        <row r="46">
          <cell r="C46" t="str">
            <v>Bloco 37</v>
          </cell>
        </row>
        <row r="47">
          <cell r="C47" t="str">
            <v>Bloco 38</v>
          </cell>
        </row>
        <row r="48">
          <cell r="C48" t="str">
            <v>Bloco 39</v>
          </cell>
        </row>
        <row r="49">
          <cell r="C49" t="str">
            <v>Bloco 40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">
          <cell r="C2" t="str">
            <v>Cidade</v>
          </cell>
          <cell r="D2" t="str">
            <v>TI</v>
          </cell>
          <cell r="E2" t="str">
            <v>Não_TI</v>
          </cell>
          <cell r="F2" t="str">
            <v>CNPJ</v>
          </cell>
          <cell r="H2" t="str">
            <v>Tipo de Serviço</v>
          </cell>
          <cell r="I2" t="str">
            <v>PIS</v>
          </cell>
          <cell r="J2" t="str">
            <v>COFINS</v>
          </cell>
        </row>
        <row r="3">
          <cell r="C3" t="str">
            <v>Manaus</v>
          </cell>
          <cell r="D3">
            <v>0.05</v>
          </cell>
          <cell r="E3">
            <v>0.05</v>
          </cell>
          <cell r="H3" t="str">
            <v>TI</v>
          </cell>
          <cell r="I3">
            <v>6.4999999999999997E-3</v>
          </cell>
          <cell r="J3">
            <v>0.03</v>
          </cell>
        </row>
        <row r="4">
          <cell r="C4" t="str">
            <v>Ferreira Gomes</v>
          </cell>
          <cell r="D4">
            <v>0.05</v>
          </cell>
          <cell r="E4">
            <v>0.05</v>
          </cell>
          <cell r="H4" t="str">
            <v>Não_TI</v>
          </cell>
          <cell r="I4">
            <v>1.6500000000000001E-2</v>
          </cell>
          <cell r="J4">
            <v>7.5999999999999998E-2</v>
          </cell>
        </row>
        <row r="5">
          <cell r="C5" t="str">
            <v>Salvador</v>
          </cell>
          <cell r="D5">
            <v>0.05</v>
          </cell>
          <cell r="E5">
            <v>0.05</v>
          </cell>
        </row>
        <row r="6">
          <cell r="C6" t="str">
            <v>Fortaleza</v>
          </cell>
          <cell r="D6">
            <v>0.05</v>
          </cell>
          <cell r="E6">
            <v>0.05</v>
          </cell>
        </row>
        <row r="7">
          <cell r="C7" t="str">
            <v>São Gonçalo do Amarante</v>
          </cell>
          <cell r="D7">
            <v>0.05</v>
          </cell>
          <cell r="E7">
            <v>0.05</v>
          </cell>
        </row>
        <row r="8">
          <cell r="C8" t="str">
            <v>Brasília</v>
          </cell>
          <cell r="D8">
            <v>0.02</v>
          </cell>
          <cell r="E8">
            <v>0.05</v>
          </cell>
        </row>
        <row r="9">
          <cell r="C9" t="str">
            <v>Linhares</v>
          </cell>
          <cell r="D9">
            <v>0.05</v>
          </cell>
          <cell r="E9">
            <v>0.05</v>
          </cell>
        </row>
        <row r="10">
          <cell r="C10" t="str">
            <v>Serra</v>
          </cell>
          <cell r="D10">
            <v>0.02</v>
          </cell>
          <cell r="E10">
            <v>0.02</v>
          </cell>
        </row>
        <row r="11">
          <cell r="C11" t="str">
            <v>Vitória</v>
          </cell>
          <cell r="D11">
            <v>0.05</v>
          </cell>
          <cell r="E11">
            <v>0.05</v>
          </cell>
          <cell r="Q11">
            <v>0.75027276000000009</v>
          </cell>
        </row>
        <row r="12">
          <cell r="C12" t="str">
            <v>Belo Horizonte</v>
          </cell>
          <cell r="D12">
            <v>2.5000000000000001E-2</v>
          </cell>
          <cell r="E12" t="str">
            <v>?</v>
          </cell>
          <cell r="F12" t="str">
            <v>NF Avulsa Autorizada</v>
          </cell>
        </row>
        <row r="13">
          <cell r="C13" t="str">
            <v>Recife</v>
          </cell>
          <cell r="D13">
            <v>0.02</v>
          </cell>
          <cell r="E13">
            <v>0.02</v>
          </cell>
        </row>
        <row r="14">
          <cell r="C14" t="str">
            <v>Macaé</v>
          </cell>
          <cell r="D14">
            <v>3.7499999999999999E-2</v>
          </cell>
          <cell r="E14">
            <v>3.7499999999999999E-2</v>
          </cell>
        </row>
        <row r="15">
          <cell r="C15" t="str">
            <v>Rio de Janeiro</v>
          </cell>
          <cell r="D15">
            <v>0.02</v>
          </cell>
          <cell r="E15">
            <v>0.05</v>
          </cell>
          <cell r="M15">
            <v>5.3999999999999994E-3</v>
          </cell>
          <cell r="N15">
            <v>0.72929109333333342</v>
          </cell>
        </row>
        <row r="16">
          <cell r="C16" t="str">
            <v>Porto Alegre</v>
          </cell>
          <cell r="D16">
            <v>0.02</v>
          </cell>
          <cell r="E16">
            <v>0.02</v>
          </cell>
        </row>
        <row r="17">
          <cell r="C17" t="str">
            <v>Treze de Maio</v>
          </cell>
          <cell r="D17">
            <v>0.05</v>
          </cell>
          <cell r="E17">
            <v>0.05</v>
          </cell>
        </row>
        <row r="18">
          <cell r="C18" t="str">
            <v>Jaguariúna</v>
          </cell>
          <cell r="D18">
            <v>0.02</v>
          </cell>
          <cell r="E18">
            <v>0.02</v>
          </cell>
        </row>
        <row r="19">
          <cell r="C19" t="str">
            <v>S.J.Campos</v>
          </cell>
          <cell r="D19">
            <v>0.02</v>
          </cell>
          <cell r="E19">
            <v>0.05</v>
          </cell>
        </row>
        <row r="20">
          <cell r="C20" t="str">
            <v>São Paulo</v>
          </cell>
          <cell r="D20">
            <v>2.9000000000000001E-2</v>
          </cell>
          <cell r="E20">
            <v>0.05</v>
          </cell>
        </row>
        <row r="21">
          <cell r="C21" t="str">
            <v>Aracaju</v>
          </cell>
          <cell r="D21">
            <v>0.05</v>
          </cell>
          <cell r="E21">
            <v>0.05</v>
          </cell>
        </row>
        <row r="22">
          <cell r="C22" t="str">
            <v>Peixe</v>
          </cell>
          <cell r="D22">
            <v>0.05</v>
          </cell>
          <cell r="E22">
            <v>0.05</v>
          </cell>
        </row>
        <row r="23">
          <cell r="C23" t="str">
            <v>?</v>
          </cell>
          <cell r="D23">
            <v>0.05</v>
          </cell>
          <cell r="E23">
            <v>0.05</v>
          </cell>
        </row>
      </sheetData>
      <sheetData sheetId="31" refreshError="1"/>
      <sheetData sheetId="32">
        <row r="1">
          <cell r="D1" t="str">
            <v>ultima CCT/ACT</v>
          </cell>
        </row>
        <row r="15">
          <cell r="B15">
            <v>5020.1441666666669</v>
          </cell>
        </row>
      </sheetData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543C6-BB43-4F61-9E02-58FA6C649A5A}" name="TabSindicatos" displayName="TabSindicatos" ref="D2:AD30" totalsRowShown="0" headerRowDxfId="0" headerRowBorderDxfId="1" headerRowCellStyle="Normal 9">
  <autoFilter ref="D2:AD30" xr:uid="{B948F4A6-8D38-4837-A589-ED038D0891A2}"/>
  <tableColumns count="27">
    <tableColumn id="2" xr3:uid="{C50F2B0F-DB08-456F-90F2-C9EC492C5617}" name="ESTADO/ SINDICATO" dataDxfId="26" dataCellStyle="Normal 9"/>
    <tableColumn id="1" xr3:uid="{38AC8FB7-64EE-4430-9693-882F8BBE6428}" name="SINDICATO" dataDxfId="25" dataCellStyle="Vírgula 7"/>
    <tableColumn id="3" xr3:uid="{3C8D19CE-7FA8-4BB8-99D0-592AA2E4FD6E}" name="ESTADO" dataDxfId="24" dataCellStyle="Vírgula 7"/>
    <tableColumn id="4" xr3:uid="{BBE320AE-BCF1-4708-B649-B6B7285F43EE}" name="APLICÁVEL Á:" dataDxfId="23" dataCellStyle="Vírgula 7"/>
    <tableColumn id="6" xr3:uid="{DCC2A79E-8087-4A68-B7E3-20EAFA1E01BB}" name="HR SegSex" dataDxfId="22" dataCellStyle="Porcentagem 5"/>
    <tableColumn id="7" xr3:uid="{408408BB-2290-4E73-937E-43F94D863A98}" name="HR Sabado" dataDxfId="21" dataCellStyle="Porcentagem 5"/>
    <tableColumn id="8" xr3:uid="{BA1E2F1D-67D1-4F5F-B389-006FC6F68698}" name="HR Domingo" dataDxfId="20" dataCellStyle="Porcentagem 5"/>
    <tableColumn id="9" xr3:uid="{89607A28-2B4C-4645-8B0E-D33B13EF836C}" name="ADICIONAL NOTURNO" dataDxfId="19" dataCellStyle="Porcentagem 5"/>
    <tableColumn id="10" xr3:uid="{3E9179C1-A8D1-4A47-9906-F82F97874853}" name="Sobreaviso" dataDxfId="18" dataCellStyle="Porcentagem 5"/>
    <tableColumn id="11" xr3:uid="{A3FB82A8-4639-4CDE-8F6E-454DE4D173AC}" name="JORNADA DE TRABALHO" dataDxfId="17" dataCellStyle="Vírgula 2 2 2 2"/>
    <tableColumn id="12" xr3:uid="{104AEFAB-DC30-41F7-9DD6-AF5365F4FBBB}" name="DATA VIGENCIA PISO" dataDxfId="16" dataCellStyle="Normal 9"/>
    <tableColumn id="13" xr3:uid="{238CCFB0-D933-4B7D-B879-FAC9661358F4}" name="INÍCIO VIGÊNCIA CCT"/>
    <tableColumn id="14" xr3:uid="{00D8D9AF-B202-4598-8D8E-2A9FF69FEF44}" name="FIM VIGÊNCIA CCT/ACT" dataDxfId="15" dataCellStyle="Normal 9"/>
    <tableColumn id="16" xr3:uid="{D66CAD05-0EE2-4128-B047-BFE2533F3C7C}" name="PISO TECNICO SUPORTE JR" dataDxfId="14" dataCellStyle="Vírgula 7"/>
    <tableColumn id="18" xr3:uid="{3E1DDCF3-042F-4A84-86FD-6DB21D5BF319}" name="Piso administrativo" dataDxfId="6" dataCellStyle="Vírgula 7"/>
    <tableColumn id="19" xr3:uid="{068621F4-EAE1-4523-BC8E-AF362A134E2E}" name="VR Remuneração " dataDxfId="13" dataCellStyle="Vírgula 7 2"/>
    <tableColumn id="22" xr3:uid="{D717E329-A344-4CB7-9DED-1185B40E08BB}" name="VR Custo" dataDxfId="2" dataCellStyle="Vírgula 7"/>
    <tableColumn id="20" xr3:uid="{A08547D2-8EEC-4F0C-8C77-46A2A98CE9F7}" name="Salário &lt;= 2999,99" dataDxfId="12" dataCellStyle="Vírgula 7 2"/>
    <tableColumn id="21" xr3:uid="{4203280A-3D13-42EC-9830-F174312E8006}" name="Salário &gt;= 3000,00" dataDxfId="11" dataCellStyle="Vírgula 7 2"/>
    <tableColumn id="23" xr3:uid="{9C516A08-EB57-4976-9924-9FE5DFBF0FBF}" name="Seguro " dataCellStyle="Normal 9"/>
    <tableColumn id="27" xr3:uid="{BC6A208E-5282-447B-848E-0F6A748D8300}" name="VT mensal" dataDxfId="10" dataCellStyle="Vírgula 7"/>
    <tableColumn id="38" xr3:uid="{B7D7CC28-6808-4AC2-B758-BC7CC1492E2C}" name="OUTROS CUSTOS" dataDxfId="9" dataCellStyle="Vírgula 7"/>
    <tableColumn id="29" xr3:uid="{CF3DA20A-D6E2-4526-AFBF-B209A413EDF9}" name="PLR" dataDxfId="8" dataCellStyle="Vírgula 7"/>
    <tableColumn id="24" xr3:uid="{6F282662-7DA4-45B5-AC9D-AF9A827F4838}" name="DEFLATOR APP" dataDxfId="5" dataCellStyle="Porcentagem 4 2"/>
    <tableColumn id="25" xr3:uid="{C7832FB0-F34D-466A-97E4-DD6320E81C30}" name="DEFLATOR ITO" dataDxfId="4" dataCellStyle="Porcentagem 4 2"/>
    <tableColumn id="26" xr3:uid="{FC53B497-27C8-498B-907B-F82F8F340B47}" name="DEFLATOR BPO" dataDxfId="3" dataCellStyle="Porcentagem 4 2"/>
    <tableColumn id="28" xr3:uid="{CF80E407-0E43-4E87-97CA-8FEA942A9624}" name="ATUALIZAÇÃO" dataDxfId="7" dataCellStyle="Vírgula 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884B-B037-4710-852B-DBDF551B3EB4}">
  <sheetPr codeName="Sindicatos">
    <tabColor rgb="FFFFC000"/>
  </sheetPr>
  <dimension ref="A1:AH152"/>
  <sheetViews>
    <sheetView tabSelected="1" zoomScale="90" zoomScaleNormal="90" workbookViewId="0">
      <pane xSplit="4" topLeftCell="E1" activePane="topRight" state="frozen"/>
      <selection activeCell="D1" sqref="D1"/>
      <selection pane="topRight" activeCell="J2" sqref="J2"/>
    </sheetView>
  </sheetViews>
  <sheetFormatPr defaultColWidth="8" defaultRowHeight="12.75" x14ac:dyDescent="0.2"/>
  <cols>
    <col min="1" max="2" width="8" style="9" hidden="1" customWidth="1"/>
    <col min="3" max="3" width="12.5703125" style="19" customWidth="1"/>
    <col min="4" max="4" width="20.42578125" style="19" customWidth="1"/>
    <col min="5" max="5" width="21.42578125" style="19" bestFit="1" customWidth="1"/>
    <col min="6" max="6" width="12.7109375" style="19" bestFit="1" customWidth="1"/>
    <col min="7" max="7" width="20.42578125" style="19" customWidth="1"/>
    <col min="8" max="8" width="9.5703125" style="20" customWidth="1"/>
    <col min="9" max="9" width="9.28515625" style="20" customWidth="1"/>
    <col min="10" max="10" width="10.140625" style="20" customWidth="1"/>
    <col min="11" max="11" width="11.140625" style="20" customWidth="1"/>
    <col min="12" max="12" width="12.5703125" style="20" customWidth="1"/>
    <col min="13" max="13" width="14" style="21" customWidth="1"/>
    <col min="14" max="14" width="12.7109375" style="22" customWidth="1"/>
    <col min="15" max="15" width="17.28515625" style="23" customWidth="1"/>
    <col min="16" max="16" width="15.140625" style="23" customWidth="1"/>
    <col min="17" max="17" width="14.42578125" style="18" customWidth="1"/>
    <col min="18" max="18" width="14.28515625" style="18" customWidth="1"/>
    <col min="19" max="19" width="15.140625" style="24" customWidth="1"/>
    <col min="20" max="20" width="14" style="24" customWidth="1"/>
    <col min="21" max="21" width="15.140625" style="25" customWidth="1"/>
    <col min="22" max="22" width="16.28515625" style="25" customWidth="1"/>
    <col min="24" max="24" width="12.5703125" style="9" customWidth="1"/>
    <col min="25" max="25" width="8.7109375" bestFit="1" customWidth="1"/>
    <col min="27" max="27" width="11.42578125" customWidth="1"/>
    <col min="28" max="28" width="17.7109375" style="9" customWidth="1"/>
    <col min="29" max="30" width="12.5703125" style="9" customWidth="1"/>
    <col min="31" max="31" width="12.42578125" bestFit="1" customWidth="1"/>
    <col min="32" max="33" width="17.28515625" style="9" customWidth="1"/>
    <col min="34" max="34" width="12.5703125" style="9" customWidth="1"/>
    <col min="35" max="35" width="11" style="9" bestFit="1" customWidth="1"/>
    <col min="36" max="16384" width="8" style="9"/>
  </cols>
  <sheetData>
    <row r="1" spans="1:31" s="1" customFormat="1" ht="15" x14ac:dyDescent="0.2">
      <c r="D1" s="2"/>
      <c r="E1" s="2"/>
      <c r="F1" s="2"/>
      <c r="G1" s="2"/>
      <c r="H1" s="3"/>
      <c r="I1" s="4"/>
      <c r="J1" s="4"/>
      <c r="K1" s="5"/>
      <c r="L1" s="5"/>
      <c r="M1" s="6"/>
      <c r="N1" s="7"/>
      <c r="O1" s="7"/>
      <c r="P1" s="7"/>
      <c r="Q1" s="26"/>
      <c r="R1" s="26"/>
      <c r="S1" s="8"/>
      <c r="T1" s="8"/>
      <c r="U1" s="30" t="s">
        <v>7</v>
      </c>
      <c r="V1" s="31"/>
      <c r="AD1" s="8"/>
    </row>
    <row r="2" spans="1:31" s="1" customFormat="1" ht="45" x14ac:dyDescent="0.2">
      <c r="A2" s="33"/>
      <c r="B2" s="33"/>
      <c r="C2" s="34" t="s">
        <v>14</v>
      </c>
      <c r="D2" s="35" t="s">
        <v>0</v>
      </c>
      <c r="E2" s="35" t="s">
        <v>15</v>
      </c>
      <c r="F2" s="35" t="s">
        <v>16</v>
      </c>
      <c r="G2" s="35" t="s">
        <v>17</v>
      </c>
      <c r="H2" s="36" t="s">
        <v>1</v>
      </c>
      <c r="I2" s="37" t="s">
        <v>2</v>
      </c>
      <c r="J2" s="37" t="s">
        <v>3</v>
      </c>
      <c r="K2" s="36" t="s">
        <v>4</v>
      </c>
      <c r="L2" s="36" t="s">
        <v>18</v>
      </c>
      <c r="M2" s="38" t="s">
        <v>5</v>
      </c>
      <c r="N2" s="39" t="s">
        <v>19</v>
      </c>
      <c r="O2" s="39" t="s">
        <v>20</v>
      </c>
      <c r="P2" s="39" t="s">
        <v>96</v>
      </c>
      <c r="Q2" s="40" t="s">
        <v>98</v>
      </c>
      <c r="R2" s="40" t="s">
        <v>25</v>
      </c>
      <c r="S2" s="41" t="s">
        <v>6</v>
      </c>
      <c r="T2" s="41" t="s">
        <v>8</v>
      </c>
      <c r="U2" s="33" t="s">
        <v>21</v>
      </c>
      <c r="V2" s="33" t="s">
        <v>22</v>
      </c>
      <c r="W2" s="33" t="s">
        <v>9</v>
      </c>
      <c r="X2" s="33" t="s">
        <v>99</v>
      </c>
      <c r="Y2" s="33" t="s">
        <v>23</v>
      </c>
      <c r="Z2" s="33" t="s">
        <v>24</v>
      </c>
      <c r="AA2" s="33" t="s">
        <v>10</v>
      </c>
      <c r="AB2" s="33" t="s">
        <v>11</v>
      </c>
      <c r="AC2" s="33" t="s">
        <v>12</v>
      </c>
      <c r="AD2" s="41" t="s">
        <v>13</v>
      </c>
    </row>
    <row r="3" spans="1:31" ht="15" customHeight="1" x14ac:dyDescent="0.2">
      <c r="C3" s="32">
        <v>8</v>
      </c>
      <c r="D3" s="10" t="s">
        <v>26</v>
      </c>
      <c r="E3" s="10" t="s">
        <v>27</v>
      </c>
      <c r="F3" s="10" t="s">
        <v>28</v>
      </c>
      <c r="G3" s="10" t="s">
        <v>29</v>
      </c>
      <c r="H3" s="11">
        <v>0.5</v>
      </c>
      <c r="I3" s="11">
        <v>0.5</v>
      </c>
      <c r="J3" s="11">
        <v>1</v>
      </c>
      <c r="K3" s="11">
        <v>0.2</v>
      </c>
      <c r="L3" s="12">
        <v>0.33329999999999999</v>
      </c>
      <c r="M3" s="13">
        <v>220</v>
      </c>
      <c r="N3" s="14">
        <v>45658</v>
      </c>
      <c r="O3" s="14">
        <v>45658</v>
      </c>
      <c r="P3" s="14">
        <v>46387</v>
      </c>
      <c r="Q3" s="10">
        <v>2458.4</v>
      </c>
      <c r="R3" s="10">
        <v>1640.46</v>
      </c>
      <c r="S3" s="10">
        <v>252</v>
      </c>
      <c r="T3" s="10">
        <v>252</v>
      </c>
      <c r="U3" s="10">
        <v>174.97003655833501</v>
      </c>
      <c r="V3" s="10">
        <v>185.3800182791675</v>
      </c>
      <c r="W3" s="10">
        <v>3.74</v>
      </c>
      <c r="X3" s="10">
        <v>154</v>
      </c>
      <c r="Y3" s="10">
        <v>0</v>
      </c>
      <c r="Z3" s="10"/>
      <c r="AA3" s="15">
        <v>0.7586301152497259</v>
      </c>
      <c r="AB3" s="15">
        <v>0.83</v>
      </c>
      <c r="AC3" s="15">
        <v>0.83</v>
      </c>
      <c r="AD3" s="14">
        <v>45958</v>
      </c>
      <c r="AE3" s="9"/>
    </row>
    <row r="4" spans="1:31" ht="15" customHeight="1" x14ac:dyDescent="0.2">
      <c r="C4" s="28">
        <v>29</v>
      </c>
      <c r="D4" s="10" t="s">
        <v>30</v>
      </c>
      <c r="E4" s="10" t="s">
        <v>31</v>
      </c>
      <c r="F4" s="10" t="s">
        <v>32</v>
      </c>
      <c r="G4" s="10" t="s">
        <v>29</v>
      </c>
      <c r="H4" s="11">
        <v>0.6</v>
      </c>
      <c r="I4" s="11">
        <v>0.6</v>
      </c>
      <c r="J4" s="11">
        <v>1</v>
      </c>
      <c r="K4" s="11">
        <v>0.25</v>
      </c>
      <c r="L4" s="12">
        <v>0.33329999999999999</v>
      </c>
      <c r="M4" s="13">
        <v>220</v>
      </c>
      <c r="N4" s="14">
        <v>45839</v>
      </c>
      <c r="O4" s="14">
        <v>45839</v>
      </c>
      <c r="P4" s="14">
        <v>46203</v>
      </c>
      <c r="Q4" s="10">
        <v>2475.98</v>
      </c>
      <c r="R4" s="10">
        <v>2178.52</v>
      </c>
      <c r="S4" s="10">
        <v>629.64</v>
      </c>
      <c r="T4" s="10">
        <v>566.67599999999993</v>
      </c>
      <c r="U4" s="10">
        <v>82.643820053120848</v>
      </c>
      <c r="V4" s="10">
        <v>97.109796013476966</v>
      </c>
      <c r="W4" s="10">
        <v>3.74</v>
      </c>
      <c r="X4" s="10">
        <v>176</v>
      </c>
      <c r="Y4" s="10">
        <v>0</v>
      </c>
      <c r="Z4" s="10"/>
      <c r="AA4" s="15">
        <v>0.97114279268104031</v>
      </c>
      <c r="AB4" s="15">
        <v>0.99157407494378846</v>
      </c>
      <c r="AC4" s="15">
        <v>0.85</v>
      </c>
      <c r="AD4" s="14">
        <v>45958</v>
      </c>
      <c r="AE4" s="9"/>
    </row>
    <row r="5" spans="1:31" ht="15" customHeight="1" x14ac:dyDescent="0.2">
      <c r="C5" s="27">
        <v>21</v>
      </c>
      <c r="D5" s="10" t="s">
        <v>33</v>
      </c>
      <c r="E5" s="10" t="s">
        <v>31</v>
      </c>
      <c r="F5" s="10" t="s">
        <v>34</v>
      </c>
      <c r="G5" s="10" t="s">
        <v>29</v>
      </c>
      <c r="H5" s="11">
        <v>0.5</v>
      </c>
      <c r="I5" s="11">
        <v>0.7</v>
      </c>
      <c r="J5" s="11">
        <v>1</v>
      </c>
      <c r="K5" s="11">
        <v>0.2</v>
      </c>
      <c r="L5" s="12">
        <v>0.33329999999999999</v>
      </c>
      <c r="M5" s="13">
        <v>220</v>
      </c>
      <c r="N5" s="14">
        <v>45658</v>
      </c>
      <c r="O5" s="14">
        <v>45658</v>
      </c>
      <c r="P5" s="14">
        <v>45992</v>
      </c>
      <c r="Q5" s="10">
        <v>1518</v>
      </c>
      <c r="R5" s="10"/>
      <c r="S5" s="10">
        <v>594</v>
      </c>
      <c r="T5" s="10">
        <v>564.29999999999995</v>
      </c>
      <c r="U5" s="10">
        <v>87.720600140458401</v>
      </c>
      <c r="V5" s="10">
        <v>97.687800070229201</v>
      </c>
      <c r="W5" s="10">
        <v>3.74</v>
      </c>
      <c r="X5" s="10">
        <v>198</v>
      </c>
      <c r="Y5" s="10">
        <v>0</v>
      </c>
      <c r="Z5" s="10"/>
      <c r="AA5" s="15">
        <v>1.0552087363486302</v>
      </c>
      <c r="AB5" s="15">
        <v>0.95463029444399783</v>
      </c>
      <c r="AC5" s="15">
        <v>0.88</v>
      </c>
      <c r="AD5" s="14">
        <v>45958</v>
      </c>
      <c r="AE5" s="9"/>
    </row>
    <row r="6" spans="1:31" ht="15" customHeight="1" x14ac:dyDescent="0.2">
      <c r="C6" s="28">
        <v>31</v>
      </c>
      <c r="D6" s="10" t="s">
        <v>35</v>
      </c>
      <c r="E6" s="10" t="s">
        <v>31</v>
      </c>
      <c r="F6" s="10" t="s">
        <v>36</v>
      </c>
      <c r="G6" s="10" t="s">
        <v>29</v>
      </c>
      <c r="H6" s="11">
        <v>0.5</v>
      </c>
      <c r="I6" s="11">
        <v>0.5</v>
      </c>
      <c r="J6" s="11">
        <v>1</v>
      </c>
      <c r="K6" s="11">
        <v>0.2</v>
      </c>
      <c r="L6" s="12">
        <v>0.33329999999999999</v>
      </c>
      <c r="M6" s="13">
        <v>220</v>
      </c>
      <c r="N6" s="14">
        <v>45778</v>
      </c>
      <c r="O6" s="14">
        <v>45778</v>
      </c>
      <c r="P6" s="14">
        <v>46142</v>
      </c>
      <c r="Q6" s="10">
        <v>2126.34</v>
      </c>
      <c r="R6" s="10">
        <v>1518</v>
      </c>
      <c r="S6" s="10">
        <v>748.44</v>
      </c>
      <c r="T6" s="10">
        <v>711.01800000000003</v>
      </c>
      <c r="U6" s="10">
        <v>171.46459195716631</v>
      </c>
      <c r="V6" s="10">
        <v>181.66826644804303</v>
      </c>
      <c r="W6" s="10">
        <v>3.74</v>
      </c>
      <c r="X6" s="10">
        <v>162.80000000000001</v>
      </c>
      <c r="Y6" s="10">
        <v>0</v>
      </c>
      <c r="Z6" s="10"/>
      <c r="AA6" s="15">
        <v>1.0950642055859112</v>
      </c>
      <c r="AB6" s="15">
        <v>1.0932078763941968</v>
      </c>
      <c r="AC6" s="15">
        <v>0.83</v>
      </c>
      <c r="AD6" s="14">
        <v>45958</v>
      </c>
      <c r="AE6" s="9"/>
    </row>
    <row r="7" spans="1:31" ht="15" customHeight="1" x14ac:dyDescent="0.2">
      <c r="C7" s="27">
        <v>11</v>
      </c>
      <c r="D7" s="10" t="s">
        <v>37</v>
      </c>
      <c r="E7" s="10" t="s">
        <v>38</v>
      </c>
      <c r="F7" s="10" t="s">
        <v>39</v>
      </c>
      <c r="G7" s="10" t="s">
        <v>29</v>
      </c>
      <c r="H7" s="11">
        <v>0.5</v>
      </c>
      <c r="I7" s="11">
        <v>0.5</v>
      </c>
      <c r="J7" s="11">
        <v>1</v>
      </c>
      <c r="K7" s="11">
        <v>0.2</v>
      </c>
      <c r="L7" s="12">
        <v>0.33329999999999999</v>
      </c>
      <c r="M7" s="13">
        <v>220</v>
      </c>
      <c r="N7" s="14">
        <v>45778</v>
      </c>
      <c r="O7" s="14">
        <v>45778</v>
      </c>
      <c r="P7" s="14">
        <v>46142</v>
      </c>
      <c r="Q7" s="10">
        <v>1636.82</v>
      </c>
      <c r="R7" s="10">
        <v>1636.82</v>
      </c>
      <c r="S7" s="10">
        <v>869.44</v>
      </c>
      <c r="T7" s="10">
        <v>869.44</v>
      </c>
      <c r="U7" s="10">
        <v>207.26958178890777</v>
      </c>
      <c r="V7" s="10">
        <v>205.82648048432037</v>
      </c>
      <c r="W7" s="10">
        <v>1.07</v>
      </c>
      <c r="X7" s="10">
        <v>246.39999999999998</v>
      </c>
      <c r="Y7" s="10">
        <v>0</v>
      </c>
      <c r="Z7" s="10"/>
      <c r="AA7" s="15">
        <v>0.94783690961124034</v>
      </c>
      <c r="AB7" s="15">
        <v>0.91399191147124759</v>
      </c>
      <c r="AC7" s="15">
        <v>0.89</v>
      </c>
      <c r="AD7" s="14">
        <v>45958</v>
      </c>
      <c r="AE7" s="9"/>
    </row>
    <row r="8" spans="1:31" ht="15" customHeight="1" x14ac:dyDescent="0.2">
      <c r="C8" s="28">
        <v>6</v>
      </c>
      <c r="D8" s="10" t="s">
        <v>40</v>
      </c>
      <c r="E8" s="10" t="s">
        <v>31</v>
      </c>
      <c r="F8" s="10" t="s">
        <v>41</v>
      </c>
      <c r="G8" s="10" t="s">
        <v>29</v>
      </c>
      <c r="H8" s="11">
        <v>0.5</v>
      </c>
      <c r="I8" s="11">
        <v>0.5</v>
      </c>
      <c r="J8" s="11">
        <v>1</v>
      </c>
      <c r="K8" s="11">
        <v>0.5</v>
      </c>
      <c r="L8" s="12">
        <v>0.33329999999999999</v>
      </c>
      <c r="M8" s="13">
        <v>220</v>
      </c>
      <c r="N8" s="14">
        <v>45778</v>
      </c>
      <c r="O8" s="14">
        <v>45413</v>
      </c>
      <c r="P8" s="14">
        <v>46142</v>
      </c>
      <c r="Q8" s="10">
        <v>1992.9023909999999</v>
      </c>
      <c r="R8" s="10">
        <v>1728.0959619999999</v>
      </c>
      <c r="S8" s="10">
        <v>572</v>
      </c>
      <c r="T8" s="10">
        <v>543.4</v>
      </c>
      <c r="U8" s="10">
        <v>129.65251827916751</v>
      </c>
      <c r="V8" s="10">
        <v>142.23625913958375</v>
      </c>
      <c r="W8" s="10">
        <v>3.7400000000000007</v>
      </c>
      <c r="X8" s="10">
        <v>198</v>
      </c>
      <c r="Y8" s="10">
        <v>0</v>
      </c>
      <c r="Z8" s="10"/>
      <c r="AA8" s="15">
        <v>1.016325352055456</v>
      </c>
      <c r="AB8" s="15">
        <v>0.93277630410510082</v>
      </c>
      <c r="AC8" s="15">
        <v>0.85</v>
      </c>
      <c r="AD8" s="14">
        <v>45958</v>
      </c>
      <c r="AE8" s="9"/>
    </row>
    <row r="9" spans="1:31" ht="15" customHeight="1" x14ac:dyDescent="0.2">
      <c r="C9" s="27">
        <v>10</v>
      </c>
      <c r="D9" s="10" t="s">
        <v>42</v>
      </c>
      <c r="E9" s="10" t="s">
        <v>31</v>
      </c>
      <c r="F9" s="10" t="s">
        <v>43</v>
      </c>
      <c r="G9" s="10" t="s">
        <v>29</v>
      </c>
      <c r="H9" s="11">
        <v>0.5</v>
      </c>
      <c r="I9" s="11">
        <v>0.5</v>
      </c>
      <c r="J9" s="11">
        <v>1</v>
      </c>
      <c r="K9" s="11">
        <v>0.2</v>
      </c>
      <c r="L9" s="12">
        <v>0.33329999999999999</v>
      </c>
      <c r="M9" s="13">
        <v>220</v>
      </c>
      <c r="N9" s="14">
        <v>45778</v>
      </c>
      <c r="O9" s="14">
        <v>45778</v>
      </c>
      <c r="P9" s="14">
        <v>46142</v>
      </c>
      <c r="Q9" s="10">
        <v>1728.89</v>
      </c>
      <c r="R9" s="10">
        <v>1728.89</v>
      </c>
      <c r="S9" s="10">
        <v>858</v>
      </c>
      <c r="T9" s="10">
        <v>858</v>
      </c>
      <c r="U9" s="10">
        <v>402.68486002662729</v>
      </c>
      <c r="V9" s="10">
        <v>426.64701752034796</v>
      </c>
      <c r="W9" s="10">
        <v>3.74</v>
      </c>
      <c r="X9" s="10">
        <v>242</v>
      </c>
      <c r="Y9" s="10">
        <v>65.31</v>
      </c>
      <c r="Z9" s="10"/>
      <c r="AA9" s="15">
        <v>1.0026526878782589</v>
      </c>
      <c r="AB9" s="15">
        <v>0.99843090582979976</v>
      </c>
      <c r="AC9" s="15">
        <v>0.92</v>
      </c>
      <c r="AD9" s="14">
        <v>45958</v>
      </c>
      <c r="AE9" s="9"/>
    </row>
    <row r="10" spans="1:31" ht="15" customHeight="1" x14ac:dyDescent="0.2">
      <c r="C10" s="28">
        <v>16</v>
      </c>
      <c r="D10" s="10" t="s">
        <v>44</v>
      </c>
      <c r="E10" s="10" t="s">
        <v>31</v>
      </c>
      <c r="F10" s="10" t="s">
        <v>45</v>
      </c>
      <c r="G10" s="10" t="s">
        <v>29</v>
      </c>
      <c r="H10" s="11">
        <v>0.5</v>
      </c>
      <c r="I10" s="11">
        <v>0.75</v>
      </c>
      <c r="J10" s="11">
        <v>1</v>
      </c>
      <c r="K10" s="11">
        <v>0.2</v>
      </c>
      <c r="L10" s="12">
        <v>0.33329999999999999</v>
      </c>
      <c r="M10" s="13">
        <v>200</v>
      </c>
      <c r="N10" s="14">
        <v>45778</v>
      </c>
      <c r="O10" s="14">
        <v>45778</v>
      </c>
      <c r="P10" s="14">
        <v>46142</v>
      </c>
      <c r="Q10" s="10">
        <v>1642.992</v>
      </c>
      <c r="R10" s="10">
        <v>1642.992</v>
      </c>
      <c r="S10" s="10">
        <v>695.11199999999997</v>
      </c>
      <c r="T10" s="10">
        <v>556.08960000000002</v>
      </c>
      <c r="U10" s="10">
        <v>139.30000000000001</v>
      </c>
      <c r="V10" s="10">
        <v>123.905</v>
      </c>
      <c r="W10" s="10">
        <v>3.74</v>
      </c>
      <c r="X10" s="10">
        <v>215.60000000000002</v>
      </c>
      <c r="Y10" s="10">
        <v>0</v>
      </c>
      <c r="Z10" s="10"/>
      <c r="AA10" s="15">
        <v>1.0549326165688728</v>
      </c>
      <c r="AB10" s="15">
        <v>1.0008280659004565</v>
      </c>
      <c r="AC10" s="15">
        <v>0.9</v>
      </c>
      <c r="AD10" s="14">
        <v>45958</v>
      </c>
      <c r="AE10" s="9"/>
    </row>
    <row r="11" spans="1:31" ht="15" customHeight="1" x14ac:dyDescent="0.2">
      <c r="C11" s="27">
        <v>40</v>
      </c>
      <c r="D11" s="10" t="s">
        <v>46</v>
      </c>
      <c r="E11" s="10" t="s">
        <v>31</v>
      </c>
      <c r="F11" s="10" t="s">
        <v>47</v>
      </c>
      <c r="G11" s="10" t="s">
        <v>29</v>
      </c>
      <c r="H11" s="11">
        <v>0.5</v>
      </c>
      <c r="I11" s="11">
        <v>0.5</v>
      </c>
      <c r="J11" s="11">
        <v>1</v>
      </c>
      <c r="K11" s="11">
        <v>0.2</v>
      </c>
      <c r="L11" s="12">
        <v>0.33329999999999999</v>
      </c>
      <c r="M11" s="13">
        <v>220</v>
      </c>
      <c r="N11" s="14">
        <v>45778</v>
      </c>
      <c r="O11" s="14">
        <v>45778</v>
      </c>
      <c r="P11" s="14">
        <v>46142</v>
      </c>
      <c r="Q11" s="10">
        <v>1691.52</v>
      </c>
      <c r="R11" s="10"/>
      <c r="S11" s="10">
        <v>718.74</v>
      </c>
      <c r="T11" s="10">
        <v>718.74</v>
      </c>
      <c r="U11" s="10">
        <v>171.46459195716631</v>
      </c>
      <c r="V11" s="10">
        <v>181.66826644804303</v>
      </c>
      <c r="W11" s="10">
        <v>3.74</v>
      </c>
      <c r="X11" s="10">
        <v>189.2</v>
      </c>
      <c r="Y11" s="10">
        <v>0</v>
      </c>
      <c r="Z11" s="10"/>
      <c r="AA11" s="15">
        <v>0.96971683313497481</v>
      </c>
      <c r="AB11" s="15">
        <v>0.9506988503326943</v>
      </c>
      <c r="AC11" s="15">
        <v>0.91</v>
      </c>
      <c r="AD11" s="14">
        <v>45958</v>
      </c>
      <c r="AE11" s="9"/>
    </row>
    <row r="12" spans="1:31" ht="18" customHeight="1" x14ac:dyDescent="0.2">
      <c r="C12" s="28">
        <v>33</v>
      </c>
      <c r="D12" s="10" t="s">
        <v>48</v>
      </c>
      <c r="E12" s="10" t="s">
        <v>31</v>
      </c>
      <c r="F12" s="10" t="s">
        <v>49</v>
      </c>
      <c r="G12" s="10" t="s">
        <v>29</v>
      </c>
      <c r="H12" s="11">
        <v>0.7</v>
      </c>
      <c r="I12" s="11">
        <v>0.7</v>
      </c>
      <c r="J12" s="11">
        <v>1</v>
      </c>
      <c r="K12" s="11">
        <v>0.2</v>
      </c>
      <c r="L12" s="12">
        <v>0.33329999999999999</v>
      </c>
      <c r="M12" s="13">
        <v>220</v>
      </c>
      <c r="N12" s="14">
        <v>44927</v>
      </c>
      <c r="O12" s="14">
        <v>45200</v>
      </c>
      <c r="P12" s="14">
        <v>45565</v>
      </c>
      <c r="Q12" s="10">
        <v>1822</v>
      </c>
      <c r="R12" s="10">
        <v>1696.31</v>
      </c>
      <c r="S12" s="10">
        <v>428.34</v>
      </c>
      <c r="T12" s="10">
        <v>428.34</v>
      </c>
      <c r="U12" s="10">
        <v>101.20199999999998</v>
      </c>
      <c r="V12" s="10">
        <v>118.91624002754415</v>
      </c>
      <c r="W12" s="10">
        <v>3.74</v>
      </c>
      <c r="X12" s="10">
        <v>184.8</v>
      </c>
      <c r="Y12" s="10">
        <v>0</v>
      </c>
      <c r="Z12" s="10"/>
      <c r="AA12" s="15">
        <v>0.94333858444962848</v>
      </c>
      <c r="AB12" s="15">
        <v>0.9694924550255376</v>
      </c>
      <c r="AC12" s="15">
        <v>0.85</v>
      </c>
      <c r="AD12" s="14">
        <v>45958</v>
      </c>
      <c r="AE12" s="9"/>
    </row>
    <row r="13" spans="1:31" ht="15" customHeight="1" x14ac:dyDescent="0.2">
      <c r="C13" s="27">
        <v>4</v>
      </c>
      <c r="D13" s="10" t="s">
        <v>50</v>
      </c>
      <c r="E13" s="10" t="s">
        <v>38</v>
      </c>
      <c r="F13" s="10" t="s">
        <v>51</v>
      </c>
      <c r="G13" s="10" t="s">
        <v>29</v>
      </c>
      <c r="H13" s="11">
        <v>0.5</v>
      </c>
      <c r="I13" s="11">
        <v>0.5</v>
      </c>
      <c r="J13" s="11">
        <v>0.5</v>
      </c>
      <c r="K13" s="11">
        <v>0.5</v>
      </c>
      <c r="L13" s="12">
        <v>0.33329999999999999</v>
      </c>
      <c r="M13" s="13">
        <v>200</v>
      </c>
      <c r="N13" s="14">
        <v>45809</v>
      </c>
      <c r="O13" s="14">
        <v>45901</v>
      </c>
      <c r="P13" s="14">
        <v>46173</v>
      </c>
      <c r="Q13" s="10">
        <v>2091.52</v>
      </c>
      <c r="R13" s="10">
        <v>1689.38</v>
      </c>
      <c r="S13" s="10">
        <v>691.46</v>
      </c>
      <c r="T13" s="10">
        <v>623.029</v>
      </c>
      <c r="U13" s="10">
        <v>171.46450951077668</v>
      </c>
      <c r="V13" s="10">
        <v>186.77051215061061</v>
      </c>
      <c r="W13" s="10">
        <v>3.7400000000000007</v>
      </c>
      <c r="X13" s="10">
        <v>253</v>
      </c>
      <c r="Y13" s="10">
        <v>0</v>
      </c>
      <c r="Z13" s="10">
        <v>94.583333333333329</v>
      </c>
      <c r="AA13" s="15">
        <v>1.0028069280150209</v>
      </c>
      <c r="AB13" s="15">
        <v>0.93840671898211059</v>
      </c>
      <c r="AC13" s="15">
        <v>0.93</v>
      </c>
      <c r="AD13" s="14">
        <v>45999</v>
      </c>
      <c r="AE13" s="9"/>
    </row>
    <row r="14" spans="1:31" ht="15" customHeight="1" x14ac:dyDescent="0.2">
      <c r="C14" s="28">
        <v>22</v>
      </c>
      <c r="D14" s="10" t="s">
        <v>52</v>
      </c>
      <c r="E14" s="10" t="s">
        <v>53</v>
      </c>
      <c r="F14" s="10" t="s">
        <v>54</v>
      </c>
      <c r="G14" s="10" t="s">
        <v>29</v>
      </c>
      <c r="H14" s="11">
        <v>0.8</v>
      </c>
      <c r="I14" s="11">
        <v>0.8</v>
      </c>
      <c r="J14" s="11">
        <v>1</v>
      </c>
      <c r="K14" s="11">
        <v>0.35</v>
      </c>
      <c r="L14" s="12">
        <v>0.33329999999999999</v>
      </c>
      <c r="M14" s="13">
        <v>220</v>
      </c>
      <c r="N14" s="14">
        <v>45809</v>
      </c>
      <c r="O14" s="14">
        <v>45809</v>
      </c>
      <c r="P14" s="14">
        <v>46173</v>
      </c>
      <c r="Q14" s="10">
        <v>1689.53</v>
      </c>
      <c r="R14" s="10">
        <v>1689.53</v>
      </c>
      <c r="S14" s="10">
        <v>840</v>
      </c>
      <c r="T14" s="10">
        <v>840</v>
      </c>
      <c r="U14" s="10">
        <v>171.46459195716631</v>
      </c>
      <c r="V14" s="10">
        <v>181.66826644804303</v>
      </c>
      <c r="W14" s="10">
        <v>3.74</v>
      </c>
      <c r="X14" s="10">
        <v>217.8</v>
      </c>
      <c r="Y14" s="10">
        <v>0</v>
      </c>
      <c r="Z14" s="10"/>
      <c r="AA14" s="15">
        <v>0.99011180368024354</v>
      </c>
      <c r="AB14" s="15">
        <v>1.135309829470982</v>
      </c>
      <c r="AC14" s="15">
        <v>0.91</v>
      </c>
      <c r="AD14" s="14">
        <v>45958</v>
      </c>
      <c r="AE14" s="9"/>
    </row>
    <row r="15" spans="1:31" ht="15" customHeight="1" x14ac:dyDescent="0.2">
      <c r="C15" s="27">
        <v>17</v>
      </c>
      <c r="D15" s="10" t="s">
        <v>55</v>
      </c>
      <c r="E15" s="10" t="s">
        <v>31</v>
      </c>
      <c r="F15" s="10" t="s">
        <v>56</v>
      </c>
      <c r="G15" s="10" t="s">
        <v>29</v>
      </c>
      <c r="H15" s="11">
        <v>0.6</v>
      </c>
      <c r="I15" s="11">
        <v>0.7</v>
      </c>
      <c r="J15" s="11">
        <v>1</v>
      </c>
      <c r="K15" s="11">
        <v>0.35</v>
      </c>
      <c r="L15" s="12">
        <v>0.33329999999999999</v>
      </c>
      <c r="M15" s="13">
        <v>220</v>
      </c>
      <c r="N15" s="14">
        <v>45778</v>
      </c>
      <c r="O15" s="14">
        <v>45413</v>
      </c>
      <c r="P15" s="14">
        <v>46142</v>
      </c>
      <c r="Q15" s="10">
        <v>3100.84</v>
      </c>
      <c r="R15" s="10">
        <v>2252.56</v>
      </c>
      <c r="S15" s="10">
        <v>580.58000000000004</v>
      </c>
      <c r="T15" s="10">
        <v>580.58000000000004</v>
      </c>
      <c r="U15" s="10">
        <v>171.46459195716631</v>
      </c>
      <c r="V15" s="10">
        <v>181.66826644804303</v>
      </c>
      <c r="W15" s="10">
        <v>3.74</v>
      </c>
      <c r="X15" s="10">
        <v>217.8</v>
      </c>
      <c r="Y15" s="10">
        <v>0</v>
      </c>
      <c r="Z15" s="10"/>
      <c r="AA15" s="15">
        <v>1.0399010123943802</v>
      </c>
      <c r="AB15" s="15">
        <v>1.2237549261640894</v>
      </c>
      <c r="AC15" s="15">
        <v>0.91</v>
      </c>
      <c r="AD15" s="14">
        <v>45958</v>
      </c>
      <c r="AE15" s="9"/>
    </row>
    <row r="16" spans="1:31" ht="15" customHeight="1" x14ac:dyDescent="0.2">
      <c r="C16" s="28">
        <v>23</v>
      </c>
      <c r="D16" s="10" t="s">
        <v>57</v>
      </c>
      <c r="E16" s="10" t="s">
        <v>31</v>
      </c>
      <c r="F16" s="10" t="s">
        <v>58</v>
      </c>
      <c r="G16" s="10" t="s">
        <v>29</v>
      </c>
      <c r="H16" s="11">
        <v>0.5</v>
      </c>
      <c r="I16" s="11">
        <v>0.5</v>
      </c>
      <c r="J16" s="11">
        <v>1</v>
      </c>
      <c r="K16" s="11">
        <v>0.3</v>
      </c>
      <c r="L16" s="12">
        <v>0.33329999999999999</v>
      </c>
      <c r="M16" s="13">
        <v>220</v>
      </c>
      <c r="N16" s="14">
        <v>45839</v>
      </c>
      <c r="O16" s="14">
        <v>45839</v>
      </c>
      <c r="P16" s="14">
        <v>46203</v>
      </c>
      <c r="Q16" s="10">
        <v>1828.93</v>
      </c>
      <c r="R16" s="10">
        <v>1679.64</v>
      </c>
      <c r="S16" s="10">
        <v>704</v>
      </c>
      <c r="T16" s="10">
        <v>668.80000000000007</v>
      </c>
      <c r="U16" s="10">
        <v>174.185</v>
      </c>
      <c r="V16" s="10">
        <v>180.63169777679406</v>
      </c>
      <c r="W16" s="10">
        <v>3.7400000000000007</v>
      </c>
      <c r="X16" s="10">
        <v>176</v>
      </c>
      <c r="Y16" s="10">
        <v>0</v>
      </c>
      <c r="Z16" s="10"/>
      <c r="AA16" s="15">
        <v>0.94522789080882941</v>
      </c>
      <c r="AB16" s="15">
        <v>1.0690682464042314</v>
      </c>
      <c r="AC16" s="15">
        <v>0.83</v>
      </c>
      <c r="AD16" s="14">
        <v>46132</v>
      </c>
      <c r="AE16" s="9"/>
    </row>
    <row r="17" spans="3:34" ht="15" customHeight="1" x14ac:dyDescent="0.2">
      <c r="C17" s="27">
        <v>32</v>
      </c>
      <c r="D17" s="10" t="s">
        <v>59</v>
      </c>
      <c r="E17" s="10" t="s">
        <v>31</v>
      </c>
      <c r="F17" s="10" t="s">
        <v>60</v>
      </c>
      <c r="G17" s="10" t="s">
        <v>29</v>
      </c>
      <c r="H17" s="11">
        <v>0.7</v>
      </c>
      <c r="I17" s="11">
        <v>0.7</v>
      </c>
      <c r="J17" s="11">
        <v>1</v>
      </c>
      <c r="K17" s="11">
        <v>0.2</v>
      </c>
      <c r="L17" s="12">
        <v>0.33329999999999999</v>
      </c>
      <c r="M17" s="13">
        <v>220</v>
      </c>
      <c r="N17" s="14">
        <v>45901</v>
      </c>
      <c r="O17" s="14">
        <v>45901</v>
      </c>
      <c r="P17" s="14">
        <v>46265</v>
      </c>
      <c r="Q17" s="10">
        <v>1601.27</v>
      </c>
      <c r="R17" s="10">
        <v>1700</v>
      </c>
      <c r="S17" s="10">
        <v>550</v>
      </c>
      <c r="T17" s="10">
        <v>495</v>
      </c>
      <c r="U17" s="10">
        <v>129.65251827916751</v>
      </c>
      <c r="V17" s="10">
        <v>142.23890915679883</v>
      </c>
      <c r="W17" s="10">
        <v>3.7400000000000007</v>
      </c>
      <c r="X17" s="10">
        <v>228.8</v>
      </c>
      <c r="Y17" s="10">
        <v>0</v>
      </c>
      <c r="Z17" s="10"/>
      <c r="AA17" s="15">
        <v>0.96254609944130221</v>
      </c>
      <c r="AB17" s="15">
        <v>0.93476094084075767</v>
      </c>
      <c r="AC17" s="15">
        <v>0.85</v>
      </c>
      <c r="AD17" s="14">
        <v>45958</v>
      </c>
      <c r="AE17" s="9"/>
    </row>
    <row r="18" spans="3:34" ht="15" customHeight="1" x14ac:dyDescent="0.2">
      <c r="C18" s="28">
        <v>12</v>
      </c>
      <c r="D18" s="10" t="s">
        <v>61</v>
      </c>
      <c r="E18" s="10" t="s">
        <v>31</v>
      </c>
      <c r="F18" s="10" t="s">
        <v>62</v>
      </c>
      <c r="G18" s="10" t="s">
        <v>29</v>
      </c>
      <c r="H18" s="11">
        <v>0.5</v>
      </c>
      <c r="I18" s="11">
        <v>0.7</v>
      </c>
      <c r="J18" s="11">
        <v>1.5</v>
      </c>
      <c r="K18" s="11">
        <v>0.2</v>
      </c>
      <c r="L18" s="12">
        <v>0.33329999999999999</v>
      </c>
      <c r="M18" s="13">
        <v>200</v>
      </c>
      <c r="N18" s="14">
        <v>45901</v>
      </c>
      <c r="O18" s="14">
        <v>45901</v>
      </c>
      <c r="P18" s="14">
        <v>46265</v>
      </c>
      <c r="Q18" s="10">
        <v>1918</v>
      </c>
      <c r="R18" s="10">
        <v>1602</v>
      </c>
      <c r="S18" s="10">
        <v>858</v>
      </c>
      <c r="T18" s="10">
        <v>858</v>
      </c>
      <c r="U18" s="10">
        <v>201.83499999999998</v>
      </c>
      <c r="V18" s="10">
        <v>216.595</v>
      </c>
      <c r="W18" s="10">
        <v>3.7400000000000007</v>
      </c>
      <c r="X18" s="10">
        <v>189.2</v>
      </c>
      <c r="Y18" s="10">
        <v>0</v>
      </c>
      <c r="Z18" s="10"/>
      <c r="AA18" s="15">
        <v>0.99751701991269059</v>
      </c>
      <c r="AB18" s="15">
        <v>1.0253575058486919</v>
      </c>
      <c r="AC18" s="15">
        <v>0.85</v>
      </c>
      <c r="AD18" s="14">
        <v>45958</v>
      </c>
      <c r="AE18" s="9"/>
    </row>
    <row r="19" spans="3:34" ht="15" customHeight="1" x14ac:dyDescent="0.2">
      <c r="C19" s="27">
        <v>24</v>
      </c>
      <c r="D19" s="10" t="s">
        <v>63</v>
      </c>
      <c r="E19" s="10" t="s">
        <v>31</v>
      </c>
      <c r="F19" s="10" t="s">
        <v>64</v>
      </c>
      <c r="G19" s="10" t="s">
        <v>29</v>
      </c>
      <c r="H19" s="11">
        <v>0.5</v>
      </c>
      <c r="I19" s="11">
        <v>0.7</v>
      </c>
      <c r="J19" s="11">
        <v>1</v>
      </c>
      <c r="K19" s="11">
        <v>0.2</v>
      </c>
      <c r="L19" s="12">
        <v>0.33329999999999999</v>
      </c>
      <c r="M19" s="13">
        <v>220</v>
      </c>
      <c r="N19" s="14">
        <v>45931</v>
      </c>
      <c r="O19" s="14">
        <v>45931</v>
      </c>
      <c r="P19" s="14">
        <v>46295</v>
      </c>
      <c r="Q19" s="10">
        <v>1981.2</v>
      </c>
      <c r="R19" s="10" t="s">
        <v>95</v>
      </c>
      <c r="S19" s="10">
        <v>440</v>
      </c>
      <c r="T19" s="10">
        <v>440</v>
      </c>
      <c r="U19" s="10">
        <v>101.20199999999998</v>
      </c>
      <c r="V19" s="10">
        <v>118.91624002754415</v>
      </c>
      <c r="W19" s="10">
        <v>3.74</v>
      </c>
      <c r="X19" s="10">
        <v>176</v>
      </c>
      <c r="Y19" s="10">
        <v>0</v>
      </c>
      <c r="Z19" s="10"/>
      <c r="AA19" s="15">
        <v>0.95460916324460587</v>
      </c>
      <c r="AB19" s="15">
        <v>0.97977562625842729</v>
      </c>
      <c r="AC19" s="15">
        <v>0.85</v>
      </c>
      <c r="AD19" s="14">
        <v>45958</v>
      </c>
      <c r="AE19" s="9"/>
    </row>
    <row r="20" spans="3:34" ht="15" customHeight="1" x14ac:dyDescent="0.2">
      <c r="C20" s="28">
        <v>30</v>
      </c>
      <c r="D20" s="10" t="s">
        <v>65</v>
      </c>
      <c r="E20" s="10" t="s">
        <v>97</v>
      </c>
      <c r="F20" s="10" t="s">
        <v>66</v>
      </c>
      <c r="G20" s="10" t="s">
        <v>29</v>
      </c>
      <c r="H20" s="11">
        <v>0.75</v>
      </c>
      <c r="I20" s="11">
        <v>0.75</v>
      </c>
      <c r="J20" s="11">
        <v>1</v>
      </c>
      <c r="K20" s="11">
        <v>0.3</v>
      </c>
      <c r="L20" s="12">
        <v>0.33329999999999999</v>
      </c>
      <c r="M20" s="13">
        <v>200</v>
      </c>
      <c r="N20" s="14">
        <v>45778</v>
      </c>
      <c r="O20" s="14">
        <v>45778</v>
      </c>
      <c r="P20" s="14">
        <v>46142</v>
      </c>
      <c r="Q20" s="10">
        <v>2275.36</v>
      </c>
      <c r="R20" s="10">
        <v>1675.29</v>
      </c>
      <c r="S20" s="10">
        <v>726</v>
      </c>
      <c r="T20" s="10">
        <v>726</v>
      </c>
      <c r="U20" s="10">
        <v>171.46459195716631</v>
      </c>
      <c r="V20" s="10">
        <v>181.66826644804303</v>
      </c>
      <c r="W20" s="10">
        <v>3.74</v>
      </c>
      <c r="X20" s="10">
        <v>264</v>
      </c>
      <c r="Y20" s="10">
        <v>0</v>
      </c>
      <c r="Z20" s="10"/>
      <c r="AA20" s="15">
        <v>0.98243852097498496</v>
      </c>
      <c r="AB20" s="15">
        <v>0.80529763811940658</v>
      </c>
      <c r="AC20" s="15">
        <v>0.94</v>
      </c>
      <c r="AD20" s="14">
        <v>45958</v>
      </c>
      <c r="AE20" s="9"/>
    </row>
    <row r="21" spans="3:34" ht="15" customHeight="1" x14ac:dyDescent="0.2">
      <c r="C21" s="27">
        <v>5</v>
      </c>
      <c r="D21" s="10" t="s">
        <v>67</v>
      </c>
      <c r="E21" s="10" t="s">
        <v>31</v>
      </c>
      <c r="F21" s="10" t="s">
        <v>68</v>
      </c>
      <c r="G21" s="10" t="s">
        <v>29</v>
      </c>
      <c r="H21" s="11">
        <v>0.5</v>
      </c>
      <c r="I21" s="11">
        <v>0.5</v>
      </c>
      <c r="J21" s="11">
        <v>0.5</v>
      </c>
      <c r="K21" s="11">
        <v>0.3</v>
      </c>
      <c r="L21" s="12">
        <v>0.35</v>
      </c>
      <c r="M21" s="13">
        <v>200</v>
      </c>
      <c r="N21" s="14">
        <v>45809</v>
      </c>
      <c r="O21" s="14">
        <v>45901</v>
      </c>
      <c r="P21" s="14">
        <v>46173</v>
      </c>
      <c r="Q21" s="10">
        <v>1858.68</v>
      </c>
      <c r="R21" s="10">
        <v>1640</v>
      </c>
      <c r="S21" s="10">
        <v>770</v>
      </c>
      <c r="T21" s="10">
        <v>770</v>
      </c>
      <c r="U21" s="10">
        <v>319.15250000000003</v>
      </c>
      <c r="V21" s="10">
        <v>319.15250000000003</v>
      </c>
      <c r="W21" s="10">
        <v>1.07</v>
      </c>
      <c r="X21" s="10">
        <v>206.8</v>
      </c>
      <c r="Y21" s="10">
        <v>11.18</v>
      </c>
      <c r="Z21" s="10">
        <v>41.666666666666664</v>
      </c>
      <c r="AA21" s="15">
        <v>1.0024741578238205</v>
      </c>
      <c r="AB21" s="15">
        <v>0.96309675984727694</v>
      </c>
      <c r="AC21" s="15">
        <v>0.99</v>
      </c>
      <c r="AD21" s="14">
        <v>45958</v>
      </c>
      <c r="AE21" s="9"/>
    </row>
    <row r="22" spans="3:34" ht="15" customHeight="1" x14ac:dyDescent="0.2">
      <c r="C22" s="28">
        <v>9</v>
      </c>
      <c r="D22" s="10" t="s">
        <v>69</v>
      </c>
      <c r="E22" s="10" t="s">
        <v>31</v>
      </c>
      <c r="F22" s="10" t="s">
        <v>70</v>
      </c>
      <c r="G22" s="10" t="s">
        <v>29</v>
      </c>
      <c r="H22" s="11">
        <v>0.5</v>
      </c>
      <c r="I22" s="11">
        <v>0.5</v>
      </c>
      <c r="J22" s="11">
        <v>1</v>
      </c>
      <c r="K22" s="11">
        <v>0.2</v>
      </c>
      <c r="L22" s="12">
        <v>0.33329999999999999</v>
      </c>
      <c r="M22" s="13">
        <v>220</v>
      </c>
      <c r="N22" s="14">
        <v>45658</v>
      </c>
      <c r="O22" s="14">
        <v>45658</v>
      </c>
      <c r="P22" s="14">
        <v>46022</v>
      </c>
      <c r="Q22" s="10">
        <v>2985.92</v>
      </c>
      <c r="R22" s="10">
        <v>2521.7399999999998</v>
      </c>
      <c r="S22" s="10">
        <v>550</v>
      </c>
      <c r="T22" s="10">
        <v>428.60606060606062</v>
      </c>
      <c r="U22" s="10">
        <v>87.720600140458401</v>
      </c>
      <c r="V22" s="10">
        <v>97.687800070229201</v>
      </c>
      <c r="W22" s="10">
        <v>3.74</v>
      </c>
      <c r="X22" s="10">
        <v>215.60000000000002</v>
      </c>
      <c r="Y22" s="10">
        <v>0</v>
      </c>
      <c r="Z22" s="10"/>
      <c r="AA22" s="15">
        <v>0.94727369124084582</v>
      </c>
      <c r="AB22" s="15">
        <v>1.1415444251568876</v>
      </c>
      <c r="AC22" s="15">
        <v>0.85</v>
      </c>
      <c r="AD22" s="14">
        <v>45958</v>
      </c>
      <c r="AE22" s="9"/>
    </row>
    <row r="23" spans="3:34" ht="15" customHeight="1" x14ac:dyDescent="0.2">
      <c r="C23" s="27">
        <v>57</v>
      </c>
      <c r="D23" s="10" t="s">
        <v>71</v>
      </c>
      <c r="E23" s="10" t="s">
        <v>72</v>
      </c>
      <c r="F23" s="10" t="s">
        <v>73</v>
      </c>
      <c r="G23" s="10" t="s">
        <v>29</v>
      </c>
      <c r="H23" s="11">
        <v>0.5</v>
      </c>
      <c r="I23" s="11">
        <v>0.5</v>
      </c>
      <c r="J23" s="11">
        <v>1</v>
      </c>
      <c r="K23" s="11">
        <v>0.5</v>
      </c>
      <c r="L23" s="12">
        <v>0.33329999999999999</v>
      </c>
      <c r="M23" s="13">
        <v>220</v>
      </c>
      <c r="N23" s="14">
        <v>45658</v>
      </c>
      <c r="O23" s="14">
        <v>45292</v>
      </c>
      <c r="P23" s="14">
        <v>46022</v>
      </c>
      <c r="Q23" s="10">
        <v>3550.04</v>
      </c>
      <c r="R23" s="10">
        <v>4626.4799999999996</v>
      </c>
      <c r="S23" s="10">
        <v>581.85</v>
      </c>
      <c r="T23" s="10">
        <v>581.85</v>
      </c>
      <c r="U23" s="10">
        <v>171.46459195716631</v>
      </c>
      <c r="V23" s="10">
        <v>181.66826644804303</v>
      </c>
      <c r="W23" s="10">
        <v>3.74</v>
      </c>
      <c r="X23" s="10">
        <v>264</v>
      </c>
      <c r="Y23" s="10">
        <v>0</v>
      </c>
      <c r="Z23" s="10"/>
      <c r="AA23" s="15">
        <v>0.81698683525447779</v>
      </c>
      <c r="AB23" s="15">
        <v>1.1266385154990421</v>
      </c>
      <c r="AC23" s="15">
        <v>0.83</v>
      </c>
      <c r="AD23" s="14">
        <v>45958</v>
      </c>
      <c r="AE23" s="9"/>
    </row>
    <row r="24" spans="3:34" x14ac:dyDescent="0.2">
      <c r="C24" s="28">
        <v>64</v>
      </c>
      <c r="D24" s="10" t="s">
        <v>74</v>
      </c>
      <c r="E24" s="10" t="s">
        <v>75</v>
      </c>
      <c r="F24" s="10" t="s">
        <v>76</v>
      </c>
      <c r="G24" s="10" t="s">
        <v>77</v>
      </c>
      <c r="H24" s="11">
        <v>0.5</v>
      </c>
      <c r="I24" s="11">
        <v>0.5</v>
      </c>
      <c r="J24" s="11">
        <v>1</v>
      </c>
      <c r="K24" s="11">
        <v>0.2</v>
      </c>
      <c r="L24" s="12">
        <v>0.33329999999999999</v>
      </c>
      <c r="M24" s="13">
        <v>220</v>
      </c>
      <c r="N24" s="14">
        <v>45931</v>
      </c>
      <c r="O24" s="14">
        <v>45566</v>
      </c>
      <c r="P24" s="14">
        <v>46295</v>
      </c>
      <c r="Q24" s="10">
        <v>1601.49</v>
      </c>
      <c r="R24" s="10">
        <v>1601.49</v>
      </c>
      <c r="S24" s="10">
        <v>418</v>
      </c>
      <c r="T24" s="10">
        <v>418</v>
      </c>
      <c r="U24" s="10">
        <v>171.46459195716631</v>
      </c>
      <c r="V24" s="10">
        <v>181.66826644804303</v>
      </c>
      <c r="W24" s="10">
        <v>3.74</v>
      </c>
      <c r="X24" s="10">
        <v>242</v>
      </c>
      <c r="Y24" s="10">
        <v>0</v>
      </c>
      <c r="Z24" s="10"/>
      <c r="AA24" s="15">
        <v>0.83</v>
      </c>
      <c r="AB24" s="15">
        <v>0.96965997236803281</v>
      </c>
      <c r="AC24" s="15">
        <v>0.83</v>
      </c>
      <c r="AD24" s="14">
        <v>45958</v>
      </c>
      <c r="AE24" s="9"/>
    </row>
    <row r="25" spans="3:34" x14ac:dyDescent="0.2">
      <c r="C25" s="27">
        <v>2</v>
      </c>
      <c r="D25" s="10" t="s">
        <v>78</v>
      </c>
      <c r="E25" s="10" t="s">
        <v>31</v>
      </c>
      <c r="F25" s="10" t="s">
        <v>79</v>
      </c>
      <c r="G25" s="10" t="s">
        <v>80</v>
      </c>
      <c r="H25" s="11">
        <v>0.75</v>
      </c>
      <c r="I25" s="11">
        <v>0.75</v>
      </c>
      <c r="J25" s="11">
        <v>1</v>
      </c>
      <c r="K25" s="11">
        <v>0.4</v>
      </c>
      <c r="L25" s="12">
        <v>0.33329999999999999</v>
      </c>
      <c r="M25" s="13">
        <v>220</v>
      </c>
      <c r="N25" s="14">
        <v>45597</v>
      </c>
      <c r="O25" s="14">
        <v>45597</v>
      </c>
      <c r="P25" s="14">
        <v>45961</v>
      </c>
      <c r="Q25" s="10">
        <v>2355.9299999999998</v>
      </c>
      <c r="R25" s="10">
        <v>1518</v>
      </c>
      <c r="S25" s="10">
        <v>770</v>
      </c>
      <c r="T25" s="10">
        <v>770</v>
      </c>
      <c r="U25" s="10">
        <v>272.94089198196428</v>
      </c>
      <c r="V25" s="10">
        <v>289.18650479966459</v>
      </c>
      <c r="W25" s="10">
        <v>3.74</v>
      </c>
      <c r="X25" s="10">
        <v>211.2</v>
      </c>
      <c r="Y25" s="10">
        <v>0</v>
      </c>
      <c r="Z25" s="10"/>
      <c r="AA25" s="15">
        <v>0.96507651164253883</v>
      </c>
      <c r="AB25" s="15">
        <v>1.0615589596246313</v>
      </c>
      <c r="AC25" s="15">
        <v>0.93</v>
      </c>
      <c r="AD25" s="14">
        <v>45958</v>
      </c>
      <c r="AE25" s="9"/>
    </row>
    <row r="26" spans="3:34" x14ac:dyDescent="0.2">
      <c r="C26" s="28">
        <v>28</v>
      </c>
      <c r="D26" s="10" t="s">
        <v>81</v>
      </c>
      <c r="E26" s="10" t="s">
        <v>31</v>
      </c>
      <c r="F26" s="10" t="s">
        <v>82</v>
      </c>
      <c r="G26" s="10" t="s">
        <v>83</v>
      </c>
      <c r="H26" s="11">
        <v>0.7</v>
      </c>
      <c r="I26" s="11">
        <v>0.7</v>
      </c>
      <c r="J26" s="11">
        <v>1</v>
      </c>
      <c r="K26" s="11">
        <v>0.5</v>
      </c>
      <c r="L26" s="12">
        <v>0.33329999999999999</v>
      </c>
      <c r="M26" s="13">
        <v>220</v>
      </c>
      <c r="N26" s="14">
        <v>45870</v>
      </c>
      <c r="O26" s="14">
        <v>45870</v>
      </c>
      <c r="P26" s="14">
        <v>46234</v>
      </c>
      <c r="Q26" s="10">
        <v>3115</v>
      </c>
      <c r="R26" s="10">
        <v>2788</v>
      </c>
      <c r="S26" s="10">
        <v>682</v>
      </c>
      <c r="T26" s="10">
        <v>682</v>
      </c>
      <c r="U26" s="10">
        <v>171.46459195716631</v>
      </c>
      <c r="V26" s="10">
        <v>181.66826644804303</v>
      </c>
      <c r="W26" s="10">
        <v>3.74</v>
      </c>
      <c r="X26" s="10">
        <v>303.60000000000002</v>
      </c>
      <c r="Y26" s="10">
        <v>0</v>
      </c>
      <c r="Z26" s="10"/>
      <c r="AA26" s="15">
        <v>1.0423648644481245</v>
      </c>
      <c r="AB26" s="15">
        <v>1.0835049474298895</v>
      </c>
      <c r="AC26" s="15">
        <v>0.92</v>
      </c>
      <c r="AD26" s="14">
        <v>45999</v>
      </c>
      <c r="AE26" s="9"/>
    </row>
    <row r="27" spans="3:34" x14ac:dyDescent="0.2">
      <c r="C27" s="27">
        <v>47</v>
      </c>
      <c r="D27" s="10" t="s">
        <v>84</v>
      </c>
      <c r="E27" s="10" t="s">
        <v>85</v>
      </c>
      <c r="F27" s="10" t="s">
        <v>86</v>
      </c>
      <c r="G27" s="10" t="s">
        <v>29</v>
      </c>
      <c r="H27" s="11">
        <v>0.6</v>
      </c>
      <c r="I27" s="11">
        <v>0.6</v>
      </c>
      <c r="J27" s="11">
        <v>1</v>
      </c>
      <c r="K27" s="11">
        <v>0.35</v>
      </c>
      <c r="L27" s="12">
        <v>0.33329999999999999</v>
      </c>
      <c r="M27" s="13">
        <v>220</v>
      </c>
      <c r="N27" s="14">
        <v>45839</v>
      </c>
      <c r="O27" s="14">
        <v>45839</v>
      </c>
      <c r="P27" s="14">
        <v>46203</v>
      </c>
      <c r="Q27" s="10">
        <v>2308</v>
      </c>
      <c r="R27" s="10">
        <v>1978</v>
      </c>
      <c r="S27" s="10">
        <v>550</v>
      </c>
      <c r="T27" s="10">
        <v>550</v>
      </c>
      <c r="U27" s="10">
        <v>349.93</v>
      </c>
      <c r="V27" s="10">
        <v>370.755</v>
      </c>
      <c r="W27" s="10">
        <v>3.74</v>
      </c>
      <c r="X27" s="10">
        <v>286</v>
      </c>
      <c r="Y27" s="10">
        <v>0</v>
      </c>
      <c r="Z27" s="10"/>
      <c r="AA27" s="15">
        <v>1.0423648644481245</v>
      </c>
      <c r="AB27" s="15">
        <v>1.0835049474298895</v>
      </c>
      <c r="AC27" s="15">
        <v>0.92</v>
      </c>
      <c r="AD27" s="14">
        <v>45958</v>
      </c>
      <c r="AE27" s="9"/>
    </row>
    <row r="28" spans="3:34" x14ac:dyDescent="0.2">
      <c r="C28" s="28">
        <v>7</v>
      </c>
      <c r="D28" s="10" t="s">
        <v>87</v>
      </c>
      <c r="E28" s="10" t="s">
        <v>88</v>
      </c>
      <c r="F28" s="10" t="s">
        <v>89</v>
      </c>
      <c r="G28" s="10" t="s">
        <v>29</v>
      </c>
      <c r="H28" s="11">
        <v>0.5</v>
      </c>
      <c r="I28" s="11">
        <v>0.5</v>
      </c>
      <c r="J28" s="11">
        <v>1</v>
      </c>
      <c r="K28" s="11">
        <v>0.2</v>
      </c>
      <c r="L28" s="12">
        <v>0.33329999999999999</v>
      </c>
      <c r="M28" s="13">
        <v>220</v>
      </c>
      <c r="N28" s="14">
        <v>45778</v>
      </c>
      <c r="O28" s="14">
        <v>45778</v>
      </c>
      <c r="P28" s="14">
        <v>46507</v>
      </c>
      <c r="Q28" s="10">
        <v>1790</v>
      </c>
      <c r="R28" s="10">
        <v>1790</v>
      </c>
      <c r="S28" s="10">
        <v>704</v>
      </c>
      <c r="T28" s="10">
        <v>682.88</v>
      </c>
      <c r="U28" s="10">
        <v>84.334999999999994</v>
      </c>
      <c r="V28" s="10">
        <v>99.097800034430179</v>
      </c>
      <c r="W28" s="10">
        <v>3.74</v>
      </c>
      <c r="X28" s="10">
        <v>198</v>
      </c>
      <c r="Y28" s="10">
        <v>0</v>
      </c>
      <c r="Z28" s="10"/>
      <c r="AA28" s="15">
        <v>0.83185011074560933</v>
      </c>
      <c r="AB28" s="15">
        <v>0.80920000000000003</v>
      </c>
      <c r="AC28" s="15">
        <v>0.85</v>
      </c>
      <c r="AD28" s="14">
        <v>45958</v>
      </c>
      <c r="AE28" s="9"/>
    </row>
    <row r="29" spans="3:34" x14ac:dyDescent="0.2">
      <c r="C29" s="27">
        <v>1</v>
      </c>
      <c r="D29" s="10" t="s">
        <v>90</v>
      </c>
      <c r="E29" s="10" t="s">
        <v>31</v>
      </c>
      <c r="F29" s="10" t="s">
        <v>91</v>
      </c>
      <c r="G29" s="10" t="s">
        <v>83</v>
      </c>
      <c r="H29" s="11">
        <v>0.5</v>
      </c>
      <c r="I29" s="11">
        <v>0.5</v>
      </c>
      <c r="J29" s="11">
        <v>0.5</v>
      </c>
      <c r="K29" s="11">
        <v>0.3</v>
      </c>
      <c r="L29" s="12">
        <v>0.33329999999999999</v>
      </c>
      <c r="M29" s="13">
        <v>200</v>
      </c>
      <c r="N29" s="14">
        <v>45809</v>
      </c>
      <c r="O29" s="14">
        <v>45292</v>
      </c>
      <c r="P29" s="14">
        <v>46173</v>
      </c>
      <c r="Q29" s="10">
        <v>2352.0865000000003</v>
      </c>
      <c r="R29" s="10">
        <v>1692.0355000000002</v>
      </c>
      <c r="S29" s="10">
        <v>660</v>
      </c>
      <c r="T29" s="10">
        <v>660</v>
      </c>
      <c r="U29" s="10">
        <v>165.61929490329689</v>
      </c>
      <c r="V29" s="10">
        <v>214.27524683445822</v>
      </c>
      <c r="W29" s="10">
        <v>3.7399999999999993</v>
      </c>
      <c r="X29" s="10">
        <v>220</v>
      </c>
      <c r="Y29" s="10">
        <v>0</v>
      </c>
      <c r="Z29" s="10">
        <v>125</v>
      </c>
      <c r="AA29" s="15">
        <v>1.0125068237969466</v>
      </c>
      <c r="AB29" s="15">
        <v>1.0041613922125736</v>
      </c>
      <c r="AC29" s="15">
        <v>1</v>
      </c>
      <c r="AD29" s="14">
        <v>45958</v>
      </c>
      <c r="AE29" s="9"/>
    </row>
    <row r="30" spans="3:34" x14ac:dyDescent="0.2">
      <c r="C30" s="29">
        <v>65</v>
      </c>
      <c r="D30" s="10" t="s">
        <v>92</v>
      </c>
      <c r="E30" s="10" t="s">
        <v>93</v>
      </c>
      <c r="F30" s="10" t="s">
        <v>94</v>
      </c>
      <c r="G30" s="10" t="s">
        <v>77</v>
      </c>
      <c r="H30" s="11">
        <v>0.5</v>
      </c>
      <c r="I30" s="11">
        <v>0.5</v>
      </c>
      <c r="J30" s="11">
        <v>1</v>
      </c>
      <c r="K30" s="11">
        <v>0.2</v>
      </c>
      <c r="L30" s="12">
        <v>0.33329999999999999</v>
      </c>
      <c r="M30" s="13">
        <v>220</v>
      </c>
      <c r="N30" s="14">
        <v>45658</v>
      </c>
      <c r="O30" s="14">
        <v>45292</v>
      </c>
      <c r="P30" s="14">
        <v>46022</v>
      </c>
      <c r="Q30" s="10">
        <v>2065.81</v>
      </c>
      <c r="R30" s="10">
        <v>2065.81</v>
      </c>
      <c r="S30" s="10">
        <v>540</v>
      </c>
      <c r="T30" s="10">
        <v>540</v>
      </c>
      <c r="U30" s="10">
        <v>171.46459195716631</v>
      </c>
      <c r="V30" s="10">
        <v>181.66826644804303</v>
      </c>
      <c r="W30" s="10">
        <v>3.74</v>
      </c>
      <c r="X30" s="10">
        <v>169.4</v>
      </c>
      <c r="Y30" s="10">
        <v>0</v>
      </c>
      <c r="Z30" s="10"/>
      <c r="AA30" s="15">
        <v>0.73535051236872351</v>
      </c>
      <c r="AB30" s="15">
        <v>0.98964697090768716</v>
      </c>
      <c r="AC30" s="15">
        <v>0.83</v>
      </c>
      <c r="AD30" s="14">
        <v>45958</v>
      </c>
      <c r="AE30" s="9"/>
    </row>
    <row r="31" spans="3:34" x14ac:dyDescent="0.2">
      <c r="D31" s="16"/>
      <c r="E31" s="16"/>
      <c r="F31" s="16"/>
      <c r="G31" s="16"/>
      <c r="H31" s="17"/>
      <c r="I31" s="17"/>
      <c r="J31" s="17"/>
      <c r="K31" s="17"/>
      <c r="L31" s="17"/>
      <c r="M31" s="16"/>
      <c r="N31" s="16"/>
      <c r="O31" s="16"/>
      <c r="P31" s="16"/>
      <c r="Q31" s="16"/>
      <c r="R31" s="16"/>
      <c r="S31" s="16"/>
      <c r="T31" s="16"/>
      <c r="U31" s="16"/>
      <c r="V31" s="16"/>
      <c r="X31" s="16"/>
      <c r="AB31" s="16"/>
      <c r="AC31" s="16"/>
      <c r="AD31" s="16"/>
      <c r="AF31" s="16"/>
      <c r="AG31" s="16"/>
      <c r="AH31" s="16"/>
    </row>
    <row r="32" spans="3:34" x14ac:dyDescent="0.2">
      <c r="D32" s="16"/>
      <c r="E32" s="16"/>
      <c r="F32" s="16"/>
      <c r="G32" s="16"/>
      <c r="H32" s="17"/>
      <c r="I32" s="17"/>
      <c r="J32" s="17"/>
      <c r="K32" s="17"/>
      <c r="L32" s="17"/>
      <c r="M32" s="16"/>
      <c r="N32" s="16"/>
      <c r="O32" s="16"/>
      <c r="P32" s="16"/>
      <c r="Q32" s="16"/>
      <c r="R32" s="16"/>
      <c r="S32" s="16"/>
      <c r="T32" s="16"/>
      <c r="U32" s="16"/>
      <c r="V32" s="16"/>
      <c r="X32" s="16"/>
      <c r="AB32" s="16"/>
      <c r="AC32" s="16"/>
      <c r="AD32" s="16"/>
      <c r="AF32" s="16"/>
      <c r="AG32" s="16"/>
      <c r="AH32" s="16"/>
    </row>
    <row r="33" spans="4:34" x14ac:dyDescent="0.2">
      <c r="D33" s="16"/>
      <c r="E33" s="16"/>
      <c r="F33" s="16"/>
      <c r="G33" s="16"/>
      <c r="H33" s="17"/>
      <c r="I33" s="17"/>
      <c r="J33" s="17"/>
      <c r="K33" s="17"/>
      <c r="L33" s="17"/>
      <c r="M33" s="16"/>
      <c r="N33" s="16"/>
      <c r="O33" s="16"/>
      <c r="P33" s="16"/>
      <c r="S33" s="16"/>
      <c r="T33" s="16"/>
      <c r="U33" s="16"/>
      <c r="V33" s="16"/>
      <c r="X33" s="16"/>
      <c r="AB33" s="16"/>
      <c r="AC33" s="16"/>
      <c r="AD33" s="16"/>
      <c r="AF33" s="16"/>
      <c r="AG33" s="16"/>
      <c r="AH33" s="16"/>
    </row>
    <row r="34" spans="4:34" x14ac:dyDescent="0.2">
      <c r="D34" s="16"/>
      <c r="E34" s="16"/>
      <c r="F34" s="16"/>
      <c r="G34" s="16"/>
      <c r="H34" s="17"/>
      <c r="I34" s="17"/>
      <c r="J34" s="17"/>
      <c r="K34" s="17"/>
      <c r="L34" s="17"/>
      <c r="M34" s="16"/>
      <c r="N34" s="16"/>
      <c r="O34" s="16"/>
      <c r="P34" s="16"/>
      <c r="S34" s="16"/>
      <c r="T34" s="16"/>
      <c r="U34" s="16"/>
      <c r="V34" s="16"/>
      <c r="X34" s="16"/>
      <c r="AB34" s="16"/>
      <c r="AC34" s="16"/>
      <c r="AD34" s="16"/>
      <c r="AF34" s="16"/>
      <c r="AG34" s="16"/>
      <c r="AH34" s="16"/>
    </row>
    <row r="35" spans="4:34" x14ac:dyDescent="0.2">
      <c r="D35" s="16"/>
      <c r="E35" s="16"/>
      <c r="F35" s="16"/>
      <c r="G35" s="16"/>
      <c r="H35" s="17"/>
      <c r="I35" s="17"/>
      <c r="J35" s="17"/>
      <c r="K35" s="17"/>
      <c r="L35" s="17"/>
      <c r="M35" s="16"/>
      <c r="N35" s="16"/>
      <c r="O35" s="16"/>
      <c r="P35" s="16"/>
      <c r="S35" s="16"/>
      <c r="T35" s="16"/>
      <c r="U35" s="16"/>
      <c r="V35" s="16"/>
      <c r="X35" s="16"/>
      <c r="AB35" s="16"/>
      <c r="AC35" s="16"/>
      <c r="AD35" s="16"/>
      <c r="AF35" s="16"/>
      <c r="AG35" s="16"/>
      <c r="AH35" s="16"/>
    </row>
    <row r="36" spans="4:34" x14ac:dyDescent="0.2">
      <c r="D36" s="16"/>
      <c r="E36" s="16"/>
      <c r="F36" s="16"/>
      <c r="G36" s="16"/>
      <c r="H36" s="17"/>
      <c r="I36" s="17"/>
      <c r="J36" s="17"/>
      <c r="K36" s="17"/>
      <c r="L36" s="17"/>
      <c r="M36" s="16"/>
      <c r="N36" s="16"/>
      <c r="O36" s="16"/>
      <c r="P36" s="16"/>
      <c r="S36" s="16"/>
      <c r="T36" s="16"/>
      <c r="U36" s="16"/>
      <c r="V36" s="16"/>
      <c r="X36" s="16"/>
      <c r="AB36" s="16"/>
      <c r="AC36" s="16"/>
      <c r="AD36" s="16"/>
      <c r="AF36" s="16"/>
      <c r="AG36" s="16"/>
      <c r="AH36" s="16"/>
    </row>
    <row r="37" spans="4:34" x14ac:dyDescent="0.2">
      <c r="D37" s="16"/>
      <c r="E37" s="16"/>
      <c r="F37" s="16"/>
      <c r="G37" s="16"/>
      <c r="H37" s="17"/>
      <c r="I37" s="17"/>
      <c r="J37" s="17"/>
      <c r="K37" s="17"/>
      <c r="L37" s="17"/>
      <c r="M37" s="16"/>
      <c r="N37" s="16"/>
      <c r="O37" s="16"/>
      <c r="P37" s="16"/>
      <c r="S37" s="16"/>
      <c r="T37" s="16"/>
      <c r="U37" s="16"/>
      <c r="V37" s="16"/>
      <c r="X37" s="16"/>
      <c r="AB37" s="16"/>
      <c r="AC37" s="16"/>
      <c r="AD37" s="16"/>
      <c r="AF37" s="16"/>
      <c r="AG37" s="16"/>
      <c r="AH37" s="16"/>
    </row>
    <row r="38" spans="4:34" x14ac:dyDescent="0.2">
      <c r="D38" s="16"/>
      <c r="E38" s="16"/>
      <c r="F38" s="16"/>
      <c r="G38" s="16"/>
      <c r="H38" s="17"/>
      <c r="I38" s="17"/>
      <c r="J38" s="17"/>
      <c r="K38" s="17"/>
      <c r="L38" s="17"/>
      <c r="M38" s="16"/>
      <c r="N38" s="16"/>
      <c r="O38" s="16"/>
      <c r="P38" s="16"/>
      <c r="S38" s="16"/>
      <c r="T38" s="16"/>
      <c r="U38" s="16"/>
      <c r="V38" s="16"/>
      <c r="X38" s="16"/>
      <c r="AB38" s="16"/>
      <c r="AC38" s="16"/>
      <c r="AD38" s="16"/>
      <c r="AF38" s="16"/>
      <c r="AG38" s="16"/>
      <c r="AH38" s="16"/>
    </row>
    <row r="39" spans="4:34" x14ac:dyDescent="0.2">
      <c r="D39" s="16"/>
      <c r="E39" s="16"/>
      <c r="F39" s="16"/>
      <c r="G39" s="16"/>
      <c r="H39" s="17"/>
      <c r="I39" s="17"/>
      <c r="J39" s="17"/>
      <c r="K39" s="17"/>
      <c r="L39" s="17"/>
      <c r="M39" s="16"/>
      <c r="N39" s="16"/>
      <c r="O39" s="16"/>
      <c r="P39" s="16"/>
      <c r="S39" s="16"/>
      <c r="T39" s="16"/>
      <c r="U39" s="16"/>
      <c r="V39" s="16"/>
      <c r="X39" s="16"/>
      <c r="AB39" s="16"/>
      <c r="AC39" s="16"/>
      <c r="AD39" s="16"/>
      <c r="AF39" s="16"/>
      <c r="AG39" s="16"/>
      <c r="AH39" s="16"/>
    </row>
    <row r="40" spans="4:34" x14ac:dyDescent="0.2">
      <c r="D40" s="16"/>
      <c r="E40" s="16"/>
      <c r="F40" s="16"/>
      <c r="G40" s="16"/>
      <c r="H40" s="17"/>
      <c r="I40" s="17"/>
      <c r="J40" s="17"/>
      <c r="K40" s="17"/>
      <c r="L40" s="17"/>
      <c r="M40" s="16"/>
      <c r="N40" s="16"/>
      <c r="O40" s="16"/>
      <c r="P40" s="16"/>
      <c r="S40" s="16"/>
      <c r="T40" s="16"/>
      <c r="U40" s="16"/>
      <c r="V40" s="16"/>
      <c r="X40" s="16"/>
      <c r="AB40" s="16"/>
      <c r="AC40" s="16"/>
      <c r="AD40" s="16"/>
      <c r="AF40" s="16"/>
      <c r="AG40" s="16"/>
      <c r="AH40" s="16"/>
    </row>
    <row r="41" spans="4:34" x14ac:dyDescent="0.2">
      <c r="D41" s="16"/>
      <c r="E41" s="16"/>
      <c r="F41" s="16"/>
      <c r="G41" s="16"/>
      <c r="H41" s="17"/>
      <c r="I41" s="17"/>
      <c r="J41" s="17"/>
      <c r="K41" s="17"/>
      <c r="L41" s="17"/>
      <c r="M41" s="16"/>
      <c r="N41" s="16"/>
      <c r="O41" s="16"/>
      <c r="P41" s="16"/>
      <c r="S41" s="16"/>
      <c r="T41" s="16"/>
      <c r="U41" s="16"/>
      <c r="V41" s="16"/>
      <c r="X41" s="16"/>
      <c r="AB41" s="16"/>
      <c r="AC41" s="16"/>
      <c r="AD41" s="16"/>
      <c r="AF41" s="16"/>
      <c r="AG41" s="16"/>
      <c r="AH41" s="16"/>
    </row>
    <row r="42" spans="4:34" x14ac:dyDescent="0.2">
      <c r="D42" s="16"/>
      <c r="E42" s="16"/>
      <c r="F42" s="16"/>
      <c r="G42" s="16"/>
      <c r="H42" s="17"/>
      <c r="I42" s="17"/>
      <c r="J42" s="17"/>
      <c r="K42" s="17"/>
      <c r="L42" s="17"/>
      <c r="M42" s="16"/>
      <c r="N42" s="16"/>
      <c r="O42" s="16"/>
      <c r="P42" s="16"/>
      <c r="S42" s="16"/>
      <c r="T42" s="16"/>
      <c r="U42" s="16"/>
      <c r="V42" s="16"/>
      <c r="X42" s="16"/>
      <c r="AB42" s="16"/>
      <c r="AC42" s="16"/>
      <c r="AD42" s="16"/>
      <c r="AF42" s="16"/>
      <c r="AG42" s="16"/>
      <c r="AH42" s="16"/>
    </row>
    <row r="43" spans="4:34" x14ac:dyDescent="0.2">
      <c r="D43" s="16"/>
      <c r="E43" s="16"/>
      <c r="F43" s="16"/>
      <c r="G43" s="16"/>
      <c r="H43" s="17"/>
      <c r="I43" s="17"/>
      <c r="J43" s="17"/>
      <c r="K43" s="17"/>
      <c r="L43" s="17"/>
      <c r="M43" s="16"/>
      <c r="N43" s="16"/>
      <c r="O43" s="16"/>
      <c r="P43" s="16"/>
      <c r="S43" s="16"/>
      <c r="T43" s="16"/>
      <c r="U43" s="16"/>
      <c r="V43" s="16"/>
      <c r="X43" s="16"/>
      <c r="AB43" s="16"/>
      <c r="AC43" s="16"/>
      <c r="AD43" s="16"/>
      <c r="AF43" s="16"/>
      <c r="AG43" s="16"/>
      <c r="AH43" s="16"/>
    </row>
    <row r="44" spans="4:34" x14ac:dyDescent="0.2">
      <c r="D44" s="16"/>
      <c r="E44" s="16"/>
      <c r="F44" s="16"/>
      <c r="G44" s="16"/>
      <c r="H44" s="17"/>
      <c r="I44" s="17"/>
      <c r="J44" s="17"/>
      <c r="K44" s="17"/>
      <c r="L44" s="17"/>
      <c r="M44" s="16"/>
      <c r="N44" s="16"/>
      <c r="O44" s="16"/>
      <c r="P44" s="16"/>
      <c r="S44" s="16"/>
      <c r="T44" s="16"/>
      <c r="U44" s="16"/>
      <c r="V44" s="16"/>
      <c r="X44" s="16"/>
      <c r="AB44" s="16"/>
      <c r="AC44" s="16"/>
      <c r="AD44" s="16"/>
      <c r="AF44" s="16"/>
      <c r="AG44" s="16"/>
      <c r="AH44" s="16"/>
    </row>
    <row r="45" spans="4:34" x14ac:dyDescent="0.2">
      <c r="D45" s="16"/>
      <c r="E45" s="16"/>
      <c r="F45" s="16"/>
      <c r="G45" s="16"/>
      <c r="H45" s="17"/>
      <c r="I45" s="17"/>
      <c r="J45" s="17"/>
      <c r="K45" s="17"/>
      <c r="L45" s="17"/>
      <c r="M45" s="16"/>
      <c r="N45" s="16"/>
      <c r="O45" s="16"/>
      <c r="P45" s="16"/>
      <c r="S45" s="16"/>
      <c r="T45" s="16"/>
      <c r="U45" s="16"/>
      <c r="V45" s="16"/>
      <c r="X45" s="16"/>
      <c r="AB45" s="16"/>
      <c r="AC45" s="16"/>
      <c r="AD45" s="16"/>
      <c r="AF45" s="16"/>
      <c r="AG45" s="16"/>
      <c r="AH45" s="16"/>
    </row>
    <row r="46" spans="4:34" x14ac:dyDescent="0.2">
      <c r="D46" s="16"/>
      <c r="E46" s="16"/>
      <c r="F46" s="16"/>
      <c r="G46" s="16"/>
      <c r="H46" s="17"/>
      <c r="I46" s="17"/>
      <c r="J46" s="17"/>
      <c r="K46" s="17"/>
      <c r="L46" s="17"/>
      <c r="M46" s="16"/>
      <c r="N46" s="16"/>
      <c r="O46" s="16"/>
      <c r="P46" s="16"/>
      <c r="S46" s="16"/>
      <c r="T46" s="16"/>
      <c r="U46" s="16"/>
      <c r="V46" s="16"/>
      <c r="X46" s="16"/>
      <c r="AB46" s="16"/>
      <c r="AC46" s="16"/>
      <c r="AD46" s="16"/>
      <c r="AF46" s="16"/>
      <c r="AG46" s="16"/>
      <c r="AH46" s="16"/>
    </row>
    <row r="47" spans="4:34" x14ac:dyDescent="0.2">
      <c r="D47" s="16"/>
      <c r="E47" s="16"/>
      <c r="F47" s="16"/>
      <c r="G47" s="16"/>
      <c r="H47" s="17"/>
      <c r="I47" s="17"/>
      <c r="J47" s="17"/>
      <c r="K47" s="17"/>
      <c r="L47" s="17"/>
      <c r="M47" s="16"/>
      <c r="N47" s="16"/>
      <c r="O47" s="16"/>
      <c r="P47" s="16"/>
      <c r="S47" s="16"/>
      <c r="T47" s="16"/>
      <c r="U47" s="16"/>
      <c r="V47" s="16"/>
      <c r="X47" s="16"/>
      <c r="AB47" s="16"/>
      <c r="AC47" s="16"/>
      <c r="AD47" s="16"/>
      <c r="AF47" s="16"/>
      <c r="AG47" s="16"/>
      <c r="AH47" s="16"/>
    </row>
    <row r="48" spans="4:34" x14ac:dyDescent="0.2">
      <c r="D48" s="16"/>
      <c r="E48" s="16"/>
      <c r="F48" s="16"/>
      <c r="G48" s="16"/>
      <c r="H48" s="17"/>
      <c r="I48" s="17"/>
      <c r="J48" s="17"/>
      <c r="K48" s="17"/>
      <c r="L48" s="17"/>
      <c r="M48" s="16"/>
      <c r="N48" s="16"/>
      <c r="O48" s="16"/>
      <c r="P48" s="16"/>
      <c r="S48" s="16"/>
      <c r="T48" s="16"/>
      <c r="U48" s="16"/>
      <c r="V48" s="16"/>
      <c r="X48" s="16"/>
      <c r="AB48" s="16"/>
      <c r="AC48" s="16"/>
      <c r="AD48" s="16"/>
      <c r="AF48" s="16"/>
      <c r="AG48" s="16"/>
      <c r="AH48" s="16"/>
    </row>
    <row r="49" spans="4:34" x14ac:dyDescent="0.2">
      <c r="D49" s="16"/>
      <c r="E49" s="16"/>
      <c r="F49" s="16"/>
      <c r="G49" s="16"/>
      <c r="H49" s="17"/>
      <c r="I49" s="17"/>
      <c r="J49" s="17"/>
      <c r="K49" s="17"/>
      <c r="L49" s="17"/>
      <c r="M49" s="16"/>
      <c r="N49" s="16"/>
      <c r="O49" s="16"/>
      <c r="P49" s="16"/>
      <c r="S49" s="16"/>
      <c r="T49" s="16"/>
      <c r="U49" s="16"/>
      <c r="V49" s="16"/>
      <c r="X49" s="16"/>
      <c r="AB49" s="16"/>
      <c r="AC49" s="16"/>
      <c r="AD49" s="16"/>
      <c r="AF49" s="16"/>
      <c r="AG49" s="16"/>
      <c r="AH49" s="16"/>
    </row>
    <row r="50" spans="4:34" x14ac:dyDescent="0.2">
      <c r="D50" s="16"/>
      <c r="E50" s="16"/>
      <c r="F50" s="16"/>
      <c r="G50" s="16"/>
      <c r="H50" s="17"/>
      <c r="I50" s="17"/>
      <c r="J50" s="17"/>
      <c r="K50" s="17"/>
      <c r="L50" s="17"/>
      <c r="M50" s="16"/>
      <c r="N50" s="16"/>
      <c r="O50" s="16"/>
      <c r="P50" s="16"/>
      <c r="S50" s="16"/>
      <c r="T50" s="16"/>
      <c r="U50" s="16"/>
      <c r="V50" s="16"/>
      <c r="X50" s="16"/>
      <c r="AB50" s="16"/>
      <c r="AC50" s="16"/>
      <c r="AD50" s="16"/>
      <c r="AF50" s="16"/>
      <c r="AG50" s="16"/>
      <c r="AH50" s="16"/>
    </row>
    <row r="51" spans="4:34" ht="15.75" customHeight="1" x14ac:dyDescent="0.2">
      <c r="D51" s="16"/>
      <c r="E51" s="16"/>
      <c r="F51" s="16"/>
      <c r="G51" s="16"/>
      <c r="H51" s="17"/>
      <c r="I51" s="17"/>
      <c r="J51" s="17"/>
      <c r="K51" s="17"/>
      <c r="L51" s="17"/>
      <c r="M51" s="16"/>
      <c r="N51" s="16"/>
      <c r="O51" s="16"/>
      <c r="P51" s="16"/>
      <c r="S51" s="16"/>
      <c r="T51" s="16"/>
      <c r="U51" s="16"/>
      <c r="V51" s="16"/>
      <c r="X51" s="16"/>
      <c r="AB51" s="16"/>
      <c r="AC51" s="16"/>
      <c r="AD51" s="16"/>
      <c r="AF51" s="16"/>
      <c r="AG51" s="16"/>
      <c r="AH51" s="16"/>
    </row>
    <row r="52" spans="4:34" x14ac:dyDescent="0.2">
      <c r="D52" s="16"/>
      <c r="E52" s="16"/>
      <c r="F52" s="16"/>
      <c r="G52" s="16"/>
      <c r="H52" s="17"/>
      <c r="I52" s="17"/>
      <c r="J52" s="17"/>
      <c r="K52" s="17"/>
      <c r="L52" s="17"/>
      <c r="M52" s="16"/>
      <c r="N52" s="16"/>
      <c r="O52" s="16"/>
      <c r="P52" s="16"/>
      <c r="S52" s="16"/>
      <c r="T52" s="16"/>
      <c r="U52" s="16"/>
      <c r="V52" s="16"/>
      <c r="X52" s="16"/>
      <c r="AB52" s="16"/>
      <c r="AC52" s="16"/>
      <c r="AD52" s="16"/>
      <c r="AF52" s="16"/>
      <c r="AG52" s="16"/>
      <c r="AH52" s="16"/>
    </row>
    <row r="53" spans="4:34" x14ac:dyDescent="0.2">
      <c r="D53" s="16"/>
      <c r="E53" s="16"/>
      <c r="F53" s="16"/>
      <c r="G53" s="16"/>
      <c r="H53" s="17"/>
      <c r="I53" s="17"/>
      <c r="J53" s="17"/>
      <c r="K53" s="17"/>
      <c r="L53" s="17"/>
      <c r="M53" s="16"/>
      <c r="N53" s="16"/>
      <c r="O53" s="16"/>
      <c r="P53" s="16"/>
      <c r="S53" s="16"/>
      <c r="T53" s="16"/>
      <c r="U53" s="16"/>
      <c r="V53" s="16"/>
      <c r="X53" s="16"/>
      <c r="AB53" s="16"/>
      <c r="AC53" s="16"/>
      <c r="AD53" s="16"/>
      <c r="AF53" s="16"/>
      <c r="AG53" s="16"/>
      <c r="AH53" s="16"/>
    </row>
    <row r="54" spans="4:34" x14ac:dyDescent="0.2">
      <c r="D54" s="16"/>
      <c r="E54" s="16"/>
      <c r="F54" s="16"/>
      <c r="G54" s="16"/>
      <c r="H54" s="17"/>
      <c r="I54" s="17"/>
      <c r="J54" s="17"/>
      <c r="K54" s="17"/>
      <c r="L54" s="17"/>
      <c r="M54" s="16"/>
      <c r="N54" s="16"/>
      <c r="O54" s="16"/>
      <c r="P54" s="16"/>
      <c r="S54" s="16"/>
      <c r="T54" s="16"/>
      <c r="U54" s="16"/>
      <c r="V54" s="16"/>
      <c r="X54" s="16"/>
      <c r="AB54" s="16"/>
      <c r="AC54" s="16"/>
      <c r="AD54" s="16"/>
      <c r="AF54" s="16"/>
      <c r="AG54" s="16"/>
      <c r="AH54" s="16"/>
    </row>
    <row r="55" spans="4:34" x14ac:dyDescent="0.2">
      <c r="D55" s="16"/>
      <c r="E55" s="16"/>
      <c r="F55" s="16"/>
      <c r="G55" s="16"/>
      <c r="H55" s="17"/>
      <c r="I55" s="17"/>
      <c r="J55" s="17"/>
      <c r="K55" s="17"/>
      <c r="L55" s="17"/>
      <c r="M55" s="16"/>
      <c r="N55" s="16"/>
      <c r="O55" s="16"/>
      <c r="P55" s="16"/>
      <c r="S55" s="16"/>
      <c r="T55" s="16"/>
      <c r="U55" s="16"/>
      <c r="V55" s="16"/>
      <c r="X55" s="16"/>
      <c r="AB55" s="16"/>
      <c r="AC55" s="16"/>
      <c r="AD55" s="16"/>
      <c r="AF55" s="16"/>
      <c r="AG55" s="16"/>
      <c r="AH55" s="16"/>
    </row>
    <row r="56" spans="4:34" x14ac:dyDescent="0.2">
      <c r="D56" s="16"/>
      <c r="E56" s="16"/>
      <c r="F56" s="16"/>
      <c r="G56" s="16"/>
      <c r="H56" s="17"/>
      <c r="I56" s="17"/>
      <c r="J56" s="17"/>
      <c r="K56" s="17"/>
      <c r="L56" s="17"/>
      <c r="M56" s="16"/>
      <c r="N56" s="16"/>
      <c r="O56" s="16"/>
      <c r="P56" s="16"/>
      <c r="S56" s="16"/>
      <c r="T56" s="16"/>
      <c r="U56" s="16"/>
      <c r="V56" s="16"/>
      <c r="X56" s="16"/>
      <c r="AB56" s="16"/>
      <c r="AC56" s="16"/>
      <c r="AD56" s="16"/>
      <c r="AF56" s="16"/>
      <c r="AG56" s="16"/>
      <c r="AH56" s="16"/>
    </row>
    <row r="57" spans="4:34" x14ac:dyDescent="0.2">
      <c r="D57" s="16"/>
      <c r="E57" s="16"/>
      <c r="F57" s="16"/>
      <c r="G57" s="16"/>
      <c r="H57" s="17"/>
      <c r="I57" s="17"/>
      <c r="J57" s="17"/>
      <c r="K57" s="17"/>
      <c r="L57" s="17"/>
      <c r="M57" s="16"/>
      <c r="N57" s="16"/>
      <c r="O57" s="16"/>
      <c r="P57" s="16"/>
      <c r="S57" s="16"/>
      <c r="T57" s="16"/>
      <c r="U57" s="16"/>
      <c r="V57" s="16"/>
      <c r="X57" s="16"/>
      <c r="AB57" s="16"/>
      <c r="AC57" s="16"/>
      <c r="AD57" s="16"/>
      <c r="AF57" s="16"/>
      <c r="AG57" s="16"/>
      <c r="AH57" s="16"/>
    </row>
    <row r="58" spans="4:34" x14ac:dyDescent="0.2">
      <c r="D58" s="16"/>
      <c r="E58" s="16"/>
      <c r="F58" s="16"/>
      <c r="G58" s="16"/>
      <c r="H58" s="17"/>
      <c r="I58" s="17"/>
      <c r="J58" s="17"/>
      <c r="K58" s="17"/>
      <c r="L58" s="17"/>
      <c r="M58" s="16"/>
      <c r="N58" s="16"/>
      <c r="O58" s="16"/>
      <c r="P58" s="16"/>
      <c r="S58" s="16"/>
      <c r="T58" s="16"/>
      <c r="U58" s="16"/>
      <c r="V58" s="16"/>
      <c r="X58" s="16"/>
      <c r="AB58" s="16"/>
      <c r="AC58" s="16"/>
      <c r="AD58" s="16"/>
      <c r="AF58" s="16"/>
      <c r="AG58" s="16"/>
      <c r="AH58" s="16"/>
    </row>
    <row r="59" spans="4:34" x14ac:dyDescent="0.2">
      <c r="D59" s="16"/>
      <c r="E59" s="16"/>
      <c r="F59" s="16"/>
      <c r="G59" s="16"/>
      <c r="H59" s="17"/>
      <c r="I59" s="17"/>
      <c r="J59" s="17"/>
      <c r="K59" s="17"/>
      <c r="L59" s="17"/>
      <c r="M59" s="16"/>
      <c r="N59" s="16"/>
      <c r="O59" s="16"/>
      <c r="P59" s="16"/>
      <c r="S59" s="16"/>
      <c r="T59" s="16"/>
      <c r="U59" s="16"/>
      <c r="V59" s="16"/>
      <c r="X59" s="16"/>
      <c r="AB59" s="16"/>
      <c r="AC59" s="16"/>
      <c r="AD59" s="16"/>
      <c r="AF59" s="16"/>
      <c r="AG59" s="16"/>
      <c r="AH59" s="16"/>
    </row>
    <row r="60" spans="4:34" x14ac:dyDescent="0.2">
      <c r="D60" s="16"/>
      <c r="E60" s="16"/>
      <c r="F60" s="16"/>
      <c r="G60" s="16"/>
      <c r="H60" s="17"/>
      <c r="I60" s="17"/>
      <c r="J60" s="17"/>
      <c r="K60" s="17"/>
      <c r="L60" s="17"/>
      <c r="M60" s="16"/>
      <c r="N60" s="16"/>
      <c r="O60" s="16"/>
      <c r="P60" s="16"/>
      <c r="S60" s="16"/>
      <c r="T60" s="16"/>
      <c r="U60" s="16"/>
      <c r="V60" s="16"/>
      <c r="X60" s="16"/>
      <c r="AB60" s="16"/>
      <c r="AC60" s="16"/>
      <c r="AD60" s="16"/>
      <c r="AF60" s="16"/>
      <c r="AG60" s="16"/>
      <c r="AH60" s="16"/>
    </row>
    <row r="61" spans="4:34" x14ac:dyDescent="0.2">
      <c r="D61" s="16"/>
      <c r="E61" s="16"/>
      <c r="F61" s="16"/>
      <c r="G61" s="16"/>
      <c r="H61" s="17"/>
      <c r="I61" s="17"/>
      <c r="J61" s="17"/>
      <c r="K61" s="17"/>
      <c r="L61" s="17"/>
      <c r="M61" s="16"/>
      <c r="N61" s="16"/>
      <c r="O61" s="16"/>
      <c r="P61" s="16"/>
      <c r="S61" s="16"/>
      <c r="T61" s="16"/>
      <c r="U61" s="16"/>
      <c r="V61" s="16"/>
      <c r="X61" s="16"/>
      <c r="AB61" s="16"/>
      <c r="AC61" s="16"/>
      <c r="AD61" s="16"/>
      <c r="AF61" s="16"/>
      <c r="AG61" s="16"/>
      <c r="AH61" s="16"/>
    </row>
    <row r="62" spans="4:34" x14ac:dyDescent="0.2">
      <c r="D62" s="16"/>
      <c r="E62" s="16"/>
      <c r="F62" s="16"/>
      <c r="G62" s="16"/>
      <c r="H62" s="17"/>
      <c r="I62" s="17"/>
      <c r="J62" s="17"/>
      <c r="K62" s="17"/>
      <c r="L62" s="17"/>
      <c r="M62" s="16"/>
      <c r="N62" s="16"/>
      <c r="O62" s="16"/>
      <c r="P62" s="16"/>
      <c r="S62" s="16"/>
      <c r="T62" s="16"/>
      <c r="U62" s="16"/>
      <c r="V62" s="16"/>
      <c r="X62" s="16"/>
      <c r="AB62" s="16"/>
      <c r="AC62" s="16"/>
      <c r="AD62" s="16"/>
      <c r="AF62" s="16"/>
      <c r="AG62" s="16"/>
      <c r="AH62" s="16"/>
    </row>
    <row r="63" spans="4:34" x14ac:dyDescent="0.2">
      <c r="D63" s="16"/>
      <c r="E63" s="16"/>
      <c r="F63" s="16"/>
      <c r="G63" s="16"/>
      <c r="H63" s="17"/>
      <c r="I63" s="17"/>
      <c r="J63" s="17"/>
      <c r="K63" s="17"/>
      <c r="L63" s="17"/>
      <c r="M63" s="16"/>
      <c r="N63" s="16"/>
      <c r="O63" s="16"/>
      <c r="P63" s="16"/>
      <c r="S63" s="16"/>
      <c r="T63" s="16"/>
      <c r="U63" s="16"/>
      <c r="V63" s="16"/>
      <c r="X63" s="16"/>
      <c r="AB63" s="16"/>
      <c r="AC63" s="16"/>
      <c r="AD63" s="16"/>
      <c r="AF63" s="16"/>
      <c r="AG63" s="16"/>
      <c r="AH63" s="16"/>
    </row>
    <row r="64" spans="4:34" ht="15.75" customHeight="1" x14ac:dyDescent="0.2">
      <c r="D64" s="16"/>
      <c r="E64" s="16"/>
      <c r="F64" s="16"/>
      <c r="G64" s="16"/>
      <c r="H64" s="17"/>
      <c r="I64" s="17"/>
      <c r="J64" s="17"/>
      <c r="K64" s="17"/>
      <c r="L64" s="17"/>
      <c r="M64" s="16"/>
      <c r="N64" s="16"/>
      <c r="O64" s="16"/>
      <c r="P64" s="16"/>
      <c r="S64" s="16"/>
      <c r="T64" s="16"/>
      <c r="U64" s="16"/>
      <c r="V64" s="16"/>
      <c r="X64" s="16"/>
      <c r="AB64" s="16"/>
      <c r="AC64" s="16"/>
      <c r="AD64" s="16"/>
      <c r="AF64" s="16"/>
      <c r="AG64" s="16"/>
      <c r="AH64" s="16"/>
    </row>
    <row r="65" spans="4:34" x14ac:dyDescent="0.2">
      <c r="D65" s="16"/>
      <c r="E65" s="16"/>
      <c r="F65" s="16"/>
      <c r="G65" s="16"/>
      <c r="H65" s="17"/>
      <c r="I65" s="17"/>
      <c r="J65" s="17"/>
      <c r="K65" s="17"/>
      <c r="L65" s="17"/>
      <c r="M65" s="16"/>
      <c r="N65" s="16"/>
      <c r="O65" s="16"/>
      <c r="P65" s="16"/>
      <c r="S65" s="16"/>
      <c r="T65" s="16"/>
      <c r="U65" s="16"/>
      <c r="V65" s="16"/>
      <c r="X65" s="16"/>
      <c r="AB65" s="16"/>
      <c r="AC65" s="16"/>
      <c r="AD65" s="16"/>
      <c r="AF65" s="16"/>
      <c r="AG65" s="16"/>
      <c r="AH65" s="16"/>
    </row>
    <row r="66" spans="4:34" ht="15" customHeight="1" x14ac:dyDescent="0.2">
      <c r="D66" s="16"/>
      <c r="E66" s="16"/>
      <c r="F66" s="16"/>
      <c r="G66" s="16"/>
      <c r="H66" s="17"/>
      <c r="I66" s="17"/>
      <c r="J66" s="17"/>
      <c r="K66" s="17"/>
      <c r="L66" s="17"/>
      <c r="M66" s="16"/>
      <c r="N66" s="16"/>
      <c r="O66" s="16"/>
      <c r="P66" s="16"/>
      <c r="S66" s="16"/>
      <c r="T66" s="16"/>
      <c r="U66" s="16"/>
      <c r="V66" s="16"/>
      <c r="X66" s="16"/>
      <c r="AB66" s="16"/>
      <c r="AC66" s="16"/>
      <c r="AD66" s="16"/>
      <c r="AF66" s="16"/>
      <c r="AG66" s="16"/>
      <c r="AH66" s="16"/>
    </row>
    <row r="67" spans="4:34" ht="18" customHeight="1" x14ac:dyDescent="0.2">
      <c r="D67" s="16"/>
      <c r="E67" s="16"/>
      <c r="F67" s="16"/>
      <c r="G67" s="16"/>
      <c r="H67" s="17"/>
      <c r="I67" s="17"/>
      <c r="J67" s="17"/>
      <c r="K67" s="17"/>
      <c r="L67" s="17"/>
      <c r="M67" s="16"/>
      <c r="N67" s="16"/>
      <c r="O67" s="16"/>
      <c r="P67" s="16"/>
      <c r="S67" s="16"/>
      <c r="T67" s="16"/>
      <c r="U67" s="16"/>
      <c r="V67" s="16"/>
      <c r="X67" s="16"/>
      <c r="AB67" s="16"/>
      <c r="AC67" s="16"/>
      <c r="AD67" s="16"/>
      <c r="AF67" s="16"/>
      <c r="AG67" s="16"/>
      <c r="AH67" s="16"/>
    </row>
    <row r="68" spans="4:34" ht="18" customHeight="1" x14ac:dyDescent="0.2">
      <c r="D68" s="16"/>
      <c r="E68" s="16"/>
      <c r="F68" s="16"/>
      <c r="G68" s="16"/>
      <c r="H68" s="17"/>
      <c r="I68" s="17"/>
      <c r="J68" s="17"/>
      <c r="K68" s="17"/>
      <c r="L68" s="17"/>
      <c r="M68" s="16"/>
      <c r="N68" s="16"/>
      <c r="O68" s="16"/>
      <c r="P68" s="16"/>
      <c r="S68" s="16"/>
      <c r="T68" s="16"/>
      <c r="U68" s="16"/>
      <c r="V68" s="16"/>
      <c r="X68" s="16"/>
      <c r="AB68" s="16"/>
      <c r="AC68" s="16"/>
      <c r="AD68" s="16"/>
      <c r="AF68" s="16"/>
      <c r="AG68" s="16"/>
      <c r="AH68" s="16"/>
    </row>
    <row r="69" spans="4:34" ht="18" customHeight="1" x14ac:dyDescent="0.2">
      <c r="D69" s="16"/>
      <c r="E69" s="16"/>
      <c r="F69" s="16"/>
      <c r="G69" s="16"/>
      <c r="H69" s="17"/>
      <c r="I69" s="17"/>
      <c r="J69" s="17"/>
      <c r="K69" s="17"/>
      <c r="L69" s="17"/>
      <c r="M69" s="16"/>
      <c r="N69" s="16"/>
      <c r="O69" s="16"/>
      <c r="P69" s="16"/>
      <c r="S69" s="16"/>
      <c r="T69" s="16"/>
      <c r="U69" s="16"/>
      <c r="V69" s="16"/>
      <c r="X69" s="16"/>
      <c r="AB69" s="16"/>
      <c r="AC69" s="16"/>
      <c r="AD69" s="16"/>
      <c r="AF69" s="16"/>
      <c r="AG69" s="16"/>
      <c r="AH69" s="16"/>
    </row>
    <row r="70" spans="4:34" x14ac:dyDescent="0.2">
      <c r="D70" s="16"/>
      <c r="E70" s="16"/>
      <c r="F70" s="16"/>
      <c r="G70" s="16"/>
      <c r="H70" s="17"/>
      <c r="I70" s="17"/>
      <c r="J70" s="17"/>
      <c r="K70" s="17"/>
      <c r="L70" s="17"/>
      <c r="M70" s="16"/>
      <c r="N70" s="16"/>
      <c r="O70" s="16"/>
      <c r="P70" s="16"/>
      <c r="S70" s="16"/>
      <c r="T70" s="16"/>
      <c r="U70" s="16"/>
      <c r="V70" s="16"/>
      <c r="X70" s="16"/>
      <c r="AB70" s="16"/>
      <c r="AC70" s="16"/>
      <c r="AD70" s="16"/>
      <c r="AF70" s="16"/>
      <c r="AG70" s="16"/>
      <c r="AH70" s="16"/>
    </row>
    <row r="71" spans="4:34" x14ac:dyDescent="0.2">
      <c r="D71" s="16"/>
      <c r="E71" s="16"/>
      <c r="F71" s="16"/>
      <c r="G71" s="16"/>
      <c r="H71" s="17"/>
      <c r="I71" s="17"/>
      <c r="J71" s="17"/>
      <c r="K71" s="17"/>
      <c r="L71" s="17"/>
      <c r="M71" s="16"/>
      <c r="N71" s="16"/>
      <c r="O71" s="16"/>
      <c r="P71" s="16"/>
      <c r="S71" s="16"/>
      <c r="T71" s="16"/>
      <c r="U71" s="16"/>
      <c r="V71" s="16"/>
      <c r="X71" s="16"/>
      <c r="AB71" s="16"/>
      <c r="AC71" s="16"/>
      <c r="AD71" s="16"/>
      <c r="AF71" s="16"/>
      <c r="AG71" s="16"/>
      <c r="AH71" s="16"/>
    </row>
    <row r="72" spans="4:34" x14ac:dyDescent="0.2">
      <c r="D72" s="16"/>
      <c r="E72" s="16"/>
      <c r="F72" s="16"/>
      <c r="G72" s="16"/>
      <c r="H72" s="17"/>
      <c r="I72" s="17"/>
      <c r="J72" s="17"/>
      <c r="K72" s="17"/>
      <c r="L72" s="17"/>
      <c r="M72" s="16"/>
      <c r="N72" s="16"/>
      <c r="O72" s="16"/>
      <c r="P72" s="16"/>
      <c r="S72" s="16"/>
      <c r="T72" s="16"/>
      <c r="U72" s="16"/>
      <c r="V72" s="16"/>
      <c r="X72" s="16"/>
      <c r="AB72" s="16"/>
      <c r="AC72" s="16"/>
      <c r="AD72" s="16"/>
      <c r="AF72" s="16"/>
      <c r="AG72" s="16"/>
      <c r="AH72" s="16"/>
    </row>
    <row r="73" spans="4:34" x14ac:dyDescent="0.2">
      <c r="D73" s="16"/>
      <c r="E73" s="16"/>
      <c r="F73" s="16"/>
      <c r="G73" s="16"/>
      <c r="H73" s="17"/>
      <c r="I73" s="17"/>
      <c r="J73" s="17"/>
      <c r="K73" s="17"/>
      <c r="L73" s="17"/>
      <c r="M73" s="16"/>
      <c r="N73" s="16"/>
      <c r="O73" s="16"/>
      <c r="P73" s="16"/>
      <c r="S73" s="16"/>
      <c r="T73" s="16"/>
      <c r="U73" s="16"/>
      <c r="V73" s="16"/>
      <c r="X73" s="16"/>
      <c r="AB73" s="16"/>
      <c r="AC73" s="16"/>
      <c r="AD73" s="16"/>
      <c r="AF73" s="16"/>
      <c r="AG73" s="16"/>
      <c r="AH73" s="16"/>
    </row>
    <row r="74" spans="4:34" x14ac:dyDescent="0.2">
      <c r="D74" s="16"/>
      <c r="E74" s="16"/>
      <c r="F74" s="16"/>
      <c r="G74" s="16"/>
      <c r="H74" s="17"/>
      <c r="I74" s="17"/>
      <c r="J74" s="17"/>
      <c r="K74" s="17"/>
      <c r="L74" s="17"/>
      <c r="M74" s="16"/>
      <c r="N74" s="16"/>
      <c r="O74" s="16"/>
      <c r="P74" s="16"/>
      <c r="S74" s="16"/>
      <c r="T74" s="16"/>
      <c r="U74" s="16"/>
      <c r="V74" s="16"/>
      <c r="X74" s="16"/>
      <c r="AB74" s="16"/>
      <c r="AC74" s="16"/>
      <c r="AD74" s="16"/>
      <c r="AF74" s="16"/>
      <c r="AG74" s="16"/>
      <c r="AH74" s="16"/>
    </row>
    <row r="75" spans="4:34" ht="15" customHeight="1" x14ac:dyDescent="0.2">
      <c r="D75" s="16"/>
      <c r="E75" s="16"/>
      <c r="F75" s="16"/>
      <c r="G75" s="16"/>
      <c r="H75" s="17"/>
      <c r="I75" s="17"/>
      <c r="J75" s="17"/>
      <c r="K75" s="17"/>
      <c r="L75" s="17"/>
      <c r="M75" s="16"/>
      <c r="N75" s="16"/>
      <c r="O75" s="16"/>
      <c r="P75" s="16"/>
      <c r="S75" s="16"/>
      <c r="T75" s="16"/>
      <c r="U75" s="16"/>
      <c r="V75" s="16"/>
      <c r="X75" s="16"/>
      <c r="AB75" s="16"/>
      <c r="AC75" s="16"/>
      <c r="AD75" s="16"/>
      <c r="AF75" s="16"/>
      <c r="AG75" s="16"/>
      <c r="AH75" s="16"/>
    </row>
    <row r="76" spans="4:34" x14ac:dyDescent="0.2">
      <c r="D76" s="16"/>
      <c r="E76" s="16"/>
      <c r="F76" s="16"/>
      <c r="G76" s="16"/>
      <c r="H76" s="17"/>
      <c r="I76" s="17"/>
      <c r="J76" s="17"/>
      <c r="K76" s="17"/>
      <c r="L76" s="17"/>
      <c r="M76" s="16"/>
      <c r="N76" s="16"/>
      <c r="O76" s="16"/>
      <c r="P76" s="16"/>
      <c r="S76" s="16"/>
      <c r="T76" s="16"/>
      <c r="U76" s="16"/>
      <c r="V76" s="16"/>
      <c r="X76" s="16"/>
      <c r="AB76" s="16"/>
      <c r="AC76" s="16"/>
      <c r="AD76" s="16"/>
      <c r="AF76" s="16"/>
      <c r="AG76" s="16"/>
      <c r="AH76" s="16"/>
    </row>
    <row r="77" spans="4:34" ht="15" customHeight="1" x14ac:dyDescent="0.2">
      <c r="D77" s="16"/>
      <c r="E77" s="16"/>
      <c r="F77" s="16"/>
      <c r="G77" s="16"/>
      <c r="H77" s="17"/>
      <c r="I77" s="17"/>
      <c r="J77" s="17"/>
      <c r="K77" s="17"/>
      <c r="L77" s="17"/>
      <c r="M77" s="16"/>
      <c r="N77" s="16"/>
      <c r="O77" s="16"/>
      <c r="P77" s="16"/>
      <c r="S77" s="16"/>
      <c r="T77" s="16"/>
      <c r="U77" s="16"/>
      <c r="V77" s="16"/>
      <c r="X77" s="16"/>
      <c r="AB77" s="16"/>
      <c r="AC77" s="16"/>
      <c r="AD77" s="16"/>
      <c r="AF77" s="16"/>
      <c r="AG77" s="16"/>
      <c r="AH77" s="16"/>
    </row>
    <row r="78" spans="4:34" x14ac:dyDescent="0.2">
      <c r="D78" s="16"/>
      <c r="E78" s="16"/>
      <c r="F78" s="16"/>
      <c r="G78" s="16"/>
      <c r="H78" s="17"/>
      <c r="I78" s="17"/>
      <c r="J78" s="17"/>
      <c r="K78" s="17"/>
      <c r="L78" s="17"/>
      <c r="M78" s="16"/>
      <c r="N78" s="16"/>
      <c r="O78" s="16"/>
      <c r="P78" s="16"/>
      <c r="S78" s="16"/>
      <c r="T78" s="16"/>
      <c r="U78" s="16"/>
      <c r="V78" s="16"/>
      <c r="X78" s="16"/>
      <c r="AB78" s="16"/>
      <c r="AC78" s="16"/>
      <c r="AD78" s="16"/>
      <c r="AF78" s="16"/>
      <c r="AG78" s="16"/>
      <c r="AH78" s="16"/>
    </row>
    <row r="79" spans="4:34" x14ac:dyDescent="0.2">
      <c r="D79" s="16"/>
      <c r="E79" s="16"/>
      <c r="F79" s="16"/>
      <c r="G79" s="16"/>
      <c r="H79" s="17"/>
      <c r="I79" s="17"/>
      <c r="J79" s="17"/>
      <c r="K79" s="17"/>
      <c r="L79" s="17"/>
      <c r="M79" s="16"/>
      <c r="N79" s="16"/>
      <c r="O79" s="16"/>
      <c r="P79" s="16"/>
      <c r="S79" s="16"/>
      <c r="T79" s="16"/>
      <c r="U79" s="16"/>
      <c r="V79" s="16"/>
      <c r="X79" s="16"/>
      <c r="AB79" s="16"/>
      <c r="AC79" s="16"/>
      <c r="AD79" s="16"/>
      <c r="AF79" s="16"/>
      <c r="AG79" s="16"/>
      <c r="AH79" s="16"/>
    </row>
    <row r="80" spans="4:34" ht="15" customHeight="1" x14ac:dyDescent="0.2">
      <c r="D80" s="16"/>
      <c r="E80" s="16"/>
      <c r="F80" s="16"/>
      <c r="G80" s="16"/>
      <c r="H80" s="17"/>
      <c r="I80" s="17"/>
      <c r="J80" s="17"/>
      <c r="K80" s="17"/>
      <c r="L80" s="17"/>
      <c r="M80" s="16"/>
      <c r="N80" s="16"/>
      <c r="O80" s="16"/>
      <c r="P80" s="16"/>
      <c r="S80" s="16"/>
      <c r="T80" s="16"/>
      <c r="U80" s="16"/>
      <c r="V80" s="16"/>
      <c r="X80" s="16"/>
      <c r="AB80" s="16"/>
      <c r="AC80" s="16"/>
      <c r="AD80" s="16"/>
      <c r="AF80" s="16"/>
      <c r="AG80" s="16"/>
      <c r="AH80" s="16"/>
    </row>
    <row r="81" spans="4:34" x14ac:dyDescent="0.2">
      <c r="D81" s="16"/>
      <c r="E81" s="16"/>
      <c r="F81" s="16"/>
      <c r="G81" s="16"/>
      <c r="H81" s="17"/>
      <c r="I81" s="17"/>
      <c r="J81" s="17"/>
      <c r="K81" s="17"/>
      <c r="L81" s="17"/>
      <c r="M81" s="16"/>
      <c r="N81" s="16"/>
      <c r="O81" s="16"/>
      <c r="P81" s="16"/>
      <c r="S81" s="16"/>
      <c r="T81" s="16"/>
      <c r="U81" s="16"/>
      <c r="V81" s="16"/>
      <c r="X81" s="16"/>
      <c r="AB81" s="16"/>
      <c r="AC81" s="16"/>
      <c r="AD81" s="16"/>
      <c r="AF81" s="16"/>
      <c r="AG81" s="16"/>
      <c r="AH81" s="16"/>
    </row>
    <row r="82" spans="4:34" x14ac:dyDescent="0.2">
      <c r="D82" s="16"/>
      <c r="E82" s="16"/>
      <c r="F82" s="16"/>
      <c r="G82" s="16"/>
      <c r="H82" s="17"/>
      <c r="I82" s="17"/>
      <c r="J82" s="17"/>
      <c r="K82" s="17"/>
      <c r="L82" s="17"/>
      <c r="M82" s="16"/>
      <c r="N82" s="16"/>
      <c r="O82" s="16"/>
      <c r="P82" s="16"/>
      <c r="S82" s="16"/>
      <c r="T82" s="16"/>
      <c r="U82" s="16"/>
      <c r="V82" s="16"/>
      <c r="X82" s="16"/>
      <c r="AB82" s="16"/>
      <c r="AC82" s="16"/>
      <c r="AD82" s="16"/>
      <c r="AF82" s="16"/>
      <c r="AG82" s="16"/>
      <c r="AH82" s="16"/>
    </row>
    <row r="83" spans="4:34" x14ac:dyDescent="0.2">
      <c r="D83" s="16"/>
      <c r="E83" s="16"/>
      <c r="F83" s="16"/>
      <c r="G83" s="16"/>
      <c r="H83" s="17"/>
      <c r="I83" s="17"/>
      <c r="J83" s="17"/>
      <c r="K83" s="17"/>
      <c r="L83" s="17"/>
      <c r="M83" s="16"/>
      <c r="N83" s="16"/>
      <c r="O83" s="16"/>
      <c r="P83" s="16"/>
      <c r="S83" s="16"/>
      <c r="T83" s="16"/>
      <c r="U83" s="16"/>
      <c r="V83" s="16"/>
      <c r="X83" s="16"/>
      <c r="AB83" s="16"/>
      <c r="AC83" s="16"/>
      <c r="AD83" s="16"/>
      <c r="AF83" s="16"/>
      <c r="AG83" s="16"/>
      <c r="AH83" s="16"/>
    </row>
    <row r="84" spans="4:34" x14ac:dyDescent="0.2">
      <c r="D84" s="16"/>
      <c r="E84" s="16"/>
      <c r="F84" s="16"/>
      <c r="G84" s="16"/>
      <c r="H84" s="17"/>
      <c r="I84" s="17"/>
      <c r="J84" s="17"/>
      <c r="K84" s="17"/>
      <c r="L84" s="17"/>
      <c r="M84" s="16"/>
      <c r="N84" s="16"/>
      <c r="O84" s="16"/>
      <c r="P84" s="16"/>
      <c r="S84" s="16"/>
      <c r="T84" s="16"/>
      <c r="U84" s="16"/>
      <c r="V84" s="16"/>
      <c r="X84" s="16"/>
      <c r="AB84" s="16"/>
      <c r="AC84" s="16"/>
      <c r="AD84" s="16"/>
      <c r="AF84" s="16"/>
      <c r="AG84" s="16"/>
      <c r="AH84" s="16"/>
    </row>
    <row r="85" spans="4:34" x14ac:dyDescent="0.2">
      <c r="D85" s="16"/>
      <c r="E85" s="16"/>
      <c r="F85" s="16"/>
      <c r="G85" s="16"/>
      <c r="H85" s="17"/>
      <c r="I85" s="17"/>
      <c r="J85" s="17"/>
      <c r="K85" s="17"/>
      <c r="L85" s="17"/>
      <c r="M85" s="16"/>
      <c r="N85" s="16"/>
      <c r="O85" s="16"/>
      <c r="P85" s="16"/>
      <c r="S85" s="16"/>
      <c r="T85" s="16"/>
      <c r="U85" s="16"/>
      <c r="V85" s="16"/>
      <c r="X85" s="16"/>
      <c r="AB85" s="16"/>
      <c r="AC85" s="16"/>
      <c r="AD85" s="16"/>
      <c r="AF85" s="16"/>
      <c r="AG85" s="16"/>
      <c r="AH85" s="16"/>
    </row>
    <row r="86" spans="4:34" x14ac:dyDescent="0.2">
      <c r="D86" s="16"/>
      <c r="E86" s="16"/>
      <c r="F86" s="16"/>
      <c r="G86" s="16"/>
      <c r="H86" s="17"/>
      <c r="I86" s="17"/>
      <c r="J86" s="17"/>
      <c r="K86" s="17"/>
      <c r="L86" s="17"/>
      <c r="M86" s="16"/>
      <c r="N86" s="16"/>
      <c r="O86" s="16"/>
      <c r="P86" s="16"/>
      <c r="S86" s="16"/>
      <c r="T86" s="16"/>
      <c r="U86" s="16"/>
      <c r="V86" s="16"/>
      <c r="X86" s="16"/>
      <c r="AB86" s="16"/>
      <c r="AC86" s="16"/>
      <c r="AD86" s="16"/>
      <c r="AF86" s="16"/>
      <c r="AG86" s="16"/>
      <c r="AH86" s="16"/>
    </row>
    <row r="87" spans="4:34" x14ac:dyDescent="0.2">
      <c r="D87" s="16"/>
      <c r="E87" s="16"/>
      <c r="F87" s="16"/>
      <c r="G87" s="16"/>
      <c r="H87" s="17"/>
      <c r="I87" s="17"/>
      <c r="J87" s="17"/>
      <c r="K87" s="17"/>
      <c r="L87" s="17"/>
      <c r="M87" s="16"/>
      <c r="N87" s="16"/>
      <c r="O87" s="16"/>
      <c r="P87" s="16"/>
      <c r="S87" s="16"/>
      <c r="T87" s="16"/>
      <c r="U87" s="16"/>
      <c r="V87" s="16"/>
      <c r="X87" s="16"/>
      <c r="AB87" s="16"/>
      <c r="AC87" s="16"/>
      <c r="AD87" s="16"/>
      <c r="AF87" s="16"/>
      <c r="AG87" s="16"/>
      <c r="AH87" s="16"/>
    </row>
    <row r="88" spans="4:34" ht="15" customHeight="1" x14ac:dyDescent="0.2">
      <c r="D88" s="16"/>
      <c r="E88" s="16"/>
      <c r="F88" s="16"/>
      <c r="G88" s="16"/>
      <c r="H88" s="17"/>
      <c r="I88" s="17"/>
      <c r="J88" s="17"/>
      <c r="K88" s="17"/>
      <c r="L88" s="17"/>
      <c r="M88" s="16"/>
      <c r="N88" s="16"/>
      <c r="O88" s="16"/>
      <c r="P88" s="16"/>
      <c r="S88" s="16"/>
      <c r="T88" s="16"/>
      <c r="U88" s="16"/>
      <c r="V88" s="16"/>
      <c r="X88" s="16"/>
      <c r="AB88" s="16"/>
      <c r="AC88" s="16"/>
      <c r="AD88" s="16"/>
      <c r="AF88" s="16"/>
      <c r="AG88" s="16"/>
      <c r="AH88" s="16"/>
    </row>
    <row r="89" spans="4:34" x14ac:dyDescent="0.2">
      <c r="D89" s="16"/>
      <c r="E89" s="16"/>
      <c r="F89" s="16"/>
      <c r="G89" s="16"/>
      <c r="H89" s="17"/>
      <c r="I89" s="17"/>
      <c r="J89" s="17"/>
      <c r="K89" s="17"/>
      <c r="L89" s="17"/>
      <c r="M89" s="16"/>
      <c r="N89" s="16"/>
      <c r="O89" s="16"/>
      <c r="P89" s="16"/>
      <c r="S89" s="16"/>
      <c r="T89" s="16"/>
      <c r="U89" s="16"/>
      <c r="V89" s="16"/>
      <c r="X89" s="16"/>
      <c r="AB89" s="16"/>
      <c r="AC89" s="16"/>
      <c r="AD89" s="16"/>
      <c r="AF89" s="16"/>
      <c r="AG89" s="16"/>
      <c r="AH89" s="16"/>
    </row>
    <row r="90" spans="4:34" x14ac:dyDescent="0.2">
      <c r="D90" s="16"/>
      <c r="E90" s="16"/>
      <c r="F90" s="16"/>
      <c r="G90" s="16"/>
      <c r="H90" s="17"/>
      <c r="I90" s="17"/>
      <c r="J90" s="17"/>
      <c r="K90" s="17"/>
      <c r="L90" s="17"/>
      <c r="M90" s="16"/>
      <c r="N90" s="16"/>
      <c r="O90" s="16"/>
      <c r="P90" s="16"/>
      <c r="S90" s="16"/>
      <c r="T90" s="16"/>
      <c r="U90" s="16"/>
      <c r="V90" s="16"/>
      <c r="X90" s="16"/>
      <c r="AB90" s="16"/>
      <c r="AC90" s="16"/>
      <c r="AD90" s="16"/>
      <c r="AF90" s="16"/>
      <c r="AG90" s="16"/>
      <c r="AH90" s="16"/>
    </row>
    <row r="91" spans="4:34" ht="21.75" customHeight="1" x14ac:dyDescent="0.2">
      <c r="D91" s="16"/>
      <c r="E91" s="16"/>
      <c r="F91" s="16"/>
      <c r="G91" s="16"/>
      <c r="H91" s="17"/>
      <c r="I91" s="17"/>
      <c r="J91" s="17"/>
      <c r="K91" s="17"/>
      <c r="L91" s="17"/>
      <c r="M91" s="16"/>
      <c r="N91" s="16"/>
      <c r="O91" s="16"/>
      <c r="P91" s="16"/>
      <c r="S91" s="16"/>
      <c r="T91" s="16"/>
      <c r="U91" s="16"/>
      <c r="V91" s="16"/>
      <c r="X91" s="16"/>
      <c r="AB91" s="16"/>
      <c r="AC91" s="16"/>
      <c r="AD91" s="16"/>
      <c r="AF91" s="16"/>
      <c r="AG91" s="16"/>
      <c r="AH91" s="16"/>
    </row>
    <row r="92" spans="4:34" x14ac:dyDescent="0.2">
      <c r="D92" s="16"/>
      <c r="E92" s="16"/>
      <c r="F92" s="16"/>
      <c r="G92" s="16"/>
      <c r="H92" s="17"/>
      <c r="I92" s="17"/>
      <c r="J92" s="17"/>
      <c r="K92" s="17"/>
      <c r="L92" s="17"/>
      <c r="M92" s="16"/>
      <c r="N92" s="16"/>
      <c r="O92" s="16"/>
      <c r="P92" s="16"/>
      <c r="S92" s="16"/>
      <c r="T92" s="16"/>
      <c r="U92" s="16"/>
      <c r="V92" s="16"/>
      <c r="X92" s="16"/>
      <c r="AB92" s="16"/>
      <c r="AC92" s="16"/>
      <c r="AD92" s="16"/>
      <c r="AF92" s="16"/>
      <c r="AG92" s="16"/>
      <c r="AH92" s="16"/>
    </row>
    <row r="93" spans="4:34" x14ac:dyDescent="0.2">
      <c r="D93" s="16"/>
      <c r="E93" s="16"/>
      <c r="F93" s="16"/>
      <c r="G93" s="16"/>
      <c r="H93" s="17"/>
      <c r="I93" s="17"/>
      <c r="J93" s="17"/>
      <c r="K93" s="17"/>
      <c r="L93" s="17"/>
      <c r="M93" s="16"/>
      <c r="N93" s="16"/>
      <c r="O93" s="16"/>
      <c r="P93" s="16"/>
      <c r="S93" s="16"/>
      <c r="T93" s="16"/>
      <c r="U93" s="16"/>
      <c r="V93" s="16"/>
      <c r="X93" s="16"/>
      <c r="AB93" s="16"/>
      <c r="AC93" s="16"/>
      <c r="AD93" s="16"/>
      <c r="AF93" s="16"/>
      <c r="AG93" s="16"/>
      <c r="AH93" s="16"/>
    </row>
    <row r="94" spans="4:34" ht="15" customHeight="1" x14ac:dyDescent="0.2">
      <c r="D94" s="16"/>
      <c r="E94" s="16"/>
      <c r="F94" s="16"/>
      <c r="G94" s="16"/>
      <c r="H94" s="17"/>
      <c r="I94" s="17"/>
      <c r="J94" s="17"/>
      <c r="K94" s="17"/>
      <c r="L94" s="17"/>
      <c r="M94" s="16"/>
      <c r="N94" s="16"/>
      <c r="O94" s="16"/>
      <c r="P94" s="16"/>
      <c r="S94" s="16"/>
      <c r="T94" s="16"/>
      <c r="U94" s="16"/>
      <c r="V94" s="16"/>
      <c r="X94" s="16"/>
      <c r="AB94" s="16"/>
      <c r="AC94" s="16"/>
      <c r="AD94" s="16"/>
      <c r="AF94" s="16"/>
      <c r="AG94" s="16"/>
      <c r="AH94" s="16"/>
    </row>
    <row r="95" spans="4:34" x14ac:dyDescent="0.2">
      <c r="D95" s="16"/>
      <c r="E95" s="16"/>
      <c r="F95" s="16"/>
      <c r="G95" s="16"/>
      <c r="H95" s="17"/>
      <c r="I95" s="17"/>
      <c r="J95" s="17"/>
      <c r="K95" s="17"/>
      <c r="L95" s="17"/>
      <c r="M95" s="16"/>
      <c r="N95" s="16"/>
      <c r="O95" s="16"/>
      <c r="P95" s="16"/>
      <c r="S95" s="16"/>
      <c r="T95" s="16"/>
      <c r="U95" s="16"/>
      <c r="V95" s="16"/>
      <c r="X95" s="16"/>
      <c r="AB95" s="16"/>
      <c r="AC95" s="16"/>
      <c r="AD95" s="16"/>
      <c r="AF95" s="16"/>
      <c r="AG95" s="16"/>
      <c r="AH95" s="16"/>
    </row>
    <row r="96" spans="4:34" x14ac:dyDescent="0.2">
      <c r="D96" s="16"/>
      <c r="E96" s="16"/>
      <c r="F96" s="16"/>
      <c r="G96" s="16"/>
      <c r="H96" s="17"/>
      <c r="I96" s="17"/>
      <c r="J96" s="17"/>
      <c r="K96" s="17"/>
      <c r="L96" s="17"/>
      <c r="M96" s="16"/>
      <c r="N96" s="16"/>
      <c r="O96" s="16"/>
      <c r="P96" s="16"/>
      <c r="S96" s="16"/>
      <c r="T96" s="16"/>
      <c r="U96" s="16"/>
      <c r="V96" s="16"/>
      <c r="X96" s="16"/>
      <c r="AB96" s="16"/>
      <c r="AC96" s="16"/>
      <c r="AD96" s="16"/>
      <c r="AF96" s="16"/>
      <c r="AG96" s="16"/>
      <c r="AH96" s="16"/>
    </row>
    <row r="97" spans="4:34" x14ac:dyDescent="0.2">
      <c r="D97" s="16"/>
      <c r="E97" s="16"/>
      <c r="F97" s="16"/>
      <c r="G97" s="16"/>
      <c r="H97" s="17"/>
      <c r="I97" s="17"/>
      <c r="J97" s="17"/>
      <c r="K97" s="17"/>
      <c r="L97" s="17"/>
      <c r="M97" s="16"/>
      <c r="N97" s="16"/>
      <c r="O97" s="16"/>
      <c r="P97" s="16"/>
      <c r="S97" s="16"/>
      <c r="T97" s="16"/>
      <c r="U97" s="16"/>
      <c r="V97" s="16"/>
      <c r="X97" s="16"/>
      <c r="AB97" s="16"/>
      <c r="AC97" s="16"/>
      <c r="AD97" s="16"/>
      <c r="AF97" s="16"/>
      <c r="AG97" s="16"/>
      <c r="AH97" s="16"/>
    </row>
    <row r="98" spans="4:34" x14ac:dyDescent="0.2">
      <c r="D98" s="16"/>
      <c r="E98" s="16"/>
      <c r="F98" s="16"/>
      <c r="G98" s="16"/>
      <c r="H98" s="17"/>
      <c r="I98" s="17"/>
      <c r="J98" s="17"/>
      <c r="K98" s="17"/>
      <c r="L98" s="17"/>
      <c r="M98" s="16"/>
      <c r="N98" s="16"/>
      <c r="O98" s="16"/>
      <c r="P98" s="16"/>
      <c r="S98" s="16"/>
      <c r="T98" s="16"/>
      <c r="U98" s="16"/>
      <c r="V98" s="16"/>
      <c r="X98" s="16"/>
      <c r="AB98" s="16"/>
      <c r="AC98" s="16"/>
      <c r="AD98" s="16"/>
      <c r="AF98" s="16"/>
      <c r="AG98" s="16"/>
      <c r="AH98" s="16"/>
    </row>
    <row r="99" spans="4:34" x14ac:dyDescent="0.2">
      <c r="D99" s="16"/>
      <c r="E99" s="16"/>
      <c r="F99" s="16"/>
      <c r="G99" s="16"/>
      <c r="H99" s="17"/>
      <c r="I99" s="17"/>
      <c r="J99" s="17"/>
      <c r="K99" s="17"/>
      <c r="L99" s="17"/>
      <c r="M99" s="16"/>
      <c r="N99" s="16"/>
      <c r="O99" s="16"/>
      <c r="P99" s="16"/>
      <c r="S99" s="16"/>
      <c r="T99" s="16"/>
      <c r="U99" s="16"/>
      <c r="V99" s="16"/>
      <c r="X99" s="16"/>
      <c r="AB99" s="16"/>
      <c r="AC99" s="16"/>
      <c r="AD99" s="16"/>
      <c r="AF99" s="16"/>
      <c r="AG99" s="16"/>
      <c r="AH99" s="16"/>
    </row>
    <row r="100" spans="4:34" x14ac:dyDescent="0.2">
      <c r="D100" s="16"/>
      <c r="E100" s="16"/>
      <c r="F100" s="16"/>
      <c r="G100" s="16"/>
      <c r="H100" s="17"/>
      <c r="I100" s="17"/>
      <c r="J100" s="17"/>
      <c r="K100" s="17"/>
      <c r="L100" s="17"/>
      <c r="M100" s="16"/>
      <c r="N100" s="16"/>
      <c r="O100" s="16"/>
      <c r="P100" s="16"/>
      <c r="S100" s="16"/>
      <c r="T100" s="16"/>
      <c r="U100" s="16"/>
      <c r="V100" s="16"/>
      <c r="X100" s="16"/>
      <c r="AB100" s="16"/>
      <c r="AC100" s="16"/>
      <c r="AD100" s="16"/>
      <c r="AF100" s="16"/>
      <c r="AG100" s="16"/>
      <c r="AH100" s="16"/>
    </row>
    <row r="101" spans="4:34" ht="16.5" customHeight="1" x14ac:dyDescent="0.2">
      <c r="D101" s="16"/>
      <c r="E101" s="16"/>
      <c r="F101" s="16"/>
      <c r="G101" s="16"/>
      <c r="H101" s="17"/>
      <c r="I101" s="17"/>
      <c r="J101" s="17"/>
      <c r="K101" s="17"/>
      <c r="L101" s="17"/>
      <c r="M101" s="16"/>
      <c r="N101" s="16"/>
      <c r="O101" s="16"/>
      <c r="P101" s="16"/>
      <c r="S101" s="16"/>
      <c r="T101" s="16"/>
      <c r="U101" s="16"/>
      <c r="V101" s="16"/>
      <c r="X101" s="16"/>
      <c r="AB101" s="16"/>
      <c r="AC101" s="16"/>
      <c r="AD101" s="16"/>
      <c r="AF101" s="16"/>
      <c r="AG101" s="16"/>
      <c r="AH101" s="16"/>
    </row>
    <row r="102" spans="4:34" ht="15" customHeight="1" x14ac:dyDescent="0.2">
      <c r="D102" s="16"/>
      <c r="E102" s="16"/>
      <c r="F102" s="16"/>
      <c r="G102" s="16"/>
      <c r="H102" s="17"/>
      <c r="I102" s="17"/>
      <c r="J102" s="17"/>
      <c r="K102" s="17"/>
      <c r="L102" s="17"/>
      <c r="M102" s="16"/>
      <c r="N102" s="16"/>
      <c r="O102" s="16"/>
      <c r="P102" s="16"/>
      <c r="S102" s="16"/>
      <c r="T102" s="16"/>
      <c r="U102" s="16"/>
      <c r="V102" s="16"/>
      <c r="X102" s="16"/>
      <c r="AB102" s="16"/>
      <c r="AC102" s="16"/>
      <c r="AD102" s="16"/>
      <c r="AF102" s="16"/>
      <c r="AG102" s="16"/>
      <c r="AH102" s="16"/>
    </row>
    <row r="103" spans="4:34" x14ac:dyDescent="0.2">
      <c r="D103" s="16"/>
      <c r="E103" s="16"/>
      <c r="F103" s="16"/>
      <c r="G103" s="16"/>
      <c r="H103" s="17"/>
      <c r="I103" s="17"/>
      <c r="J103" s="17"/>
      <c r="K103" s="17"/>
      <c r="L103" s="17"/>
      <c r="M103" s="16"/>
      <c r="N103" s="16"/>
      <c r="O103" s="16"/>
      <c r="P103" s="16"/>
      <c r="S103" s="16"/>
      <c r="T103" s="16"/>
      <c r="U103" s="16"/>
      <c r="V103" s="16"/>
      <c r="X103" s="16"/>
      <c r="AB103" s="16"/>
      <c r="AC103" s="16"/>
      <c r="AD103" s="16"/>
      <c r="AF103" s="16"/>
      <c r="AG103" s="16"/>
      <c r="AH103" s="16"/>
    </row>
    <row r="104" spans="4:34" x14ac:dyDescent="0.2">
      <c r="D104" s="16"/>
      <c r="E104" s="16"/>
      <c r="F104" s="16"/>
      <c r="G104" s="16"/>
      <c r="H104" s="17"/>
      <c r="I104" s="17"/>
      <c r="J104" s="17"/>
      <c r="K104" s="17"/>
      <c r="L104" s="17"/>
      <c r="M104" s="16"/>
      <c r="N104" s="16"/>
      <c r="O104" s="16"/>
      <c r="P104" s="16"/>
      <c r="S104" s="16"/>
      <c r="T104" s="16"/>
      <c r="U104" s="16"/>
      <c r="V104" s="16"/>
      <c r="X104" s="16"/>
      <c r="AB104" s="16"/>
      <c r="AC104" s="16"/>
      <c r="AD104" s="16"/>
      <c r="AF104" s="16"/>
      <c r="AG104" s="16"/>
      <c r="AH104" s="16"/>
    </row>
    <row r="105" spans="4:34" x14ac:dyDescent="0.2">
      <c r="D105" s="16"/>
      <c r="E105" s="16"/>
      <c r="F105" s="16"/>
      <c r="G105" s="16"/>
      <c r="H105" s="17"/>
      <c r="I105" s="17"/>
      <c r="J105" s="17"/>
      <c r="K105" s="17"/>
      <c r="L105" s="17"/>
      <c r="M105" s="16"/>
      <c r="N105" s="16"/>
      <c r="O105" s="16"/>
      <c r="P105" s="16"/>
      <c r="S105" s="16"/>
      <c r="T105" s="16"/>
      <c r="U105" s="16"/>
      <c r="V105" s="16"/>
      <c r="X105" s="16"/>
      <c r="AB105" s="16"/>
      <c r="AC105" s="16"/>
      <c r="AD105" s="16"/>
      <c r="AF105" s="16"/>
      <c r="AG105" s="16"/>
      <c r="AH105" s="16"/>
    </row>
    <row r="106" spans="4:34" x14ac:dyDescent="0.2">
      <c r="D106" s="16"/>
      <c r="E106" s="16"/>
      <c r="F106" s="16"/>
      <c r="G106" s="16"/>
      <c r="H106" s="17"/>
      <c r="I106" s="17"/>
      <c r="J106" s="17"/>
      <c r="K106" s="17"/>
      <c r="L106" s="17"/>
      <c r="M106" s="16"/>
      <c r="N106" s="16"/>
      <c r="O106" s="16"/>
      <c r="P106" s="16"/>
      <c r="S106" s="16"/>
      <c r="T106" s="16"/>
      <c r="U106" s="16"/>
      <c r="V106" s="16"/>
      <c r="X106" s="16"/>
      <c r="AB106" s="16"/>
      <c r="AC106" s="16"/>
      <c r="AD106" s="16"/>
      <c r="AF106" s="16"/>
      <c r="AG106" s="16"/>
      <c r="AH106" s="16"/>
    </row>
    <row r="107" spans="4:34" x14ac:dyDescent="0.2">
      <c r="D107" s="16"/>
      <c r="E107" s="16"/>
      <c r="F107" s="16"/>
      <c r="G107" s="16"/>
      <c r="H107" s="17"/>
      <c r="I107" s="17"/>
      <c r="J107" s="17"/>
      <c r="K107" s="17"/>
      <c r="L107" s="17"/>
      <c r="M107" s="16"/>
      <c r="N107" s="16"/>
      <c r="O107" s="16"/>
      <c r="P107" s="16"/>
      <c r="S107" s="16"/>
      <c r="T107" s="16"/>
      <c r="U107" s="16"/>
      <c r="V107" s="16"/>
      <c r="X107" s="16"/>
      <c r="AB107" s="16"/>
      <c r="AC107" s="16"/>
      <c r="AD107" s="16"/>
      <c r="AF107" s="16"/>
      <c r="AG107" s="16"/>
      <c r="AH107" s="16"/>
    </row>
    <row r="108" spans="4:34" x14ac:dyDescent="0.2">
      <c r="D108" s="16"/>
      <c r="E108" s="16"/>
      <c r="F108" s="16"/>
      <c r="G108" s="16"/>
      <c r="H108" s="17"/>
      <c r="I108" s="17"/>
      <c r="J108" s="17"/>
      <c r="K108" s="17"/>
      <c r="L108" s="17"/>
      <c r="M108" s="16"/>
      <c r="N108" s="16"/>
      <c r="O108" s="16"/>
      <c r="P108" s="16"/>
      <c r="S108" s="16"/>
      <c r="T108" s="16"/>
      <c r="U108" s="16"/>
      <c r="V108" s="16"/>
      <c r="X108" s="16"/>
      <c r="AB108" s="16"/>
      <c r="AC108" s="16"/>
      <c r="AD108" s="16"/>
      <c r="AF108" s="16"/>
      <c r="AG108" s="16"/>
      <c r="AH108" s="16"/>
    </row>
    <row r="109" spans="4:34" x14ac:dyDescent="0.2">
      <c r="D109" s="16"/>
      <c r="E109" s="16"/>
      <c r="F109" s="16"/>
      <c r="G109" s="16"/>
      <c r="H109" s="17"/>
      <c r="I109" s="17"/>
      <c r="J109" s="17"/>
      <c r="K109" s="17"/>
      <c r="L109" s="17"/>
      <c r="M109" s="16"/>
      <c r="N109" s="16"/>
      <c r="O109" s="16"/>
      <c r="P109" s="16"/>
      <c r="S109" s="16"/>
      <c r="T109" s="16"/>
      <c r="U109" s="16"/>
      <c r="V109" s="16"/>
      <c r="X109" s="16"/>
      <c r="AB109" s="16"/>
      <c r="AC109" s="16"/>
      <c r="AD109" s="16"/>
      <c r="AF109" s="16"/>
      <c r="AG109" s="16"/>
      <c r="AH109" s="16"/>
    </row>
    <row r="110" spans="4:34" x14ac:dyDescent="0.2">
      <c r="D110" s="16"/>
      <c r="E110" s="16"/>
      <c r="F110" s="16"/>
      <c r="G110" s="16"/>
      <c r="H110" s="17"/>
      <c r="I110" s="17"/>
      <c r="J110" s="17"/>
      <c r="K110" s="17"/>
      <c r="L110" s="17"/>
      <c r="M110" s="16"/>
      <c r="N110" s="16"/>
      <c r="O110" s="16"/>
      <c r="P110" s="16"/>
      <c r="S110" s="16"/>
      <c r="T110" s="16"/>
      <c r="U110" s="16"/>
      <c r="V110" s="16"/>
      <c r="X110" s="16"/>
      <c r="AB110" s="16"/>
      <c r="AC110" s="16"/>
      <c r="AD110" s="16"/>
      <c r="AF110" s="16"/>
      <c r="AG110" s="16"/>
      <c r="AH110" s="16"/>
    </row>
    <row r="111" spans="4:34" x14ac:dyDescent="0.2">
      <c r="D111" s="16"/>
      <c r="E111" s="16"/>
      <c r="F111" s="16"/>
      <c r="G111" s="16"/>
      <c r="H111" s="17"/>
      <c r="I111" s="17"/>
      <c r="J111" s="17"/>
      <c r="K111" s="17"/>
      <c r="L111" s="17"/>
      <c r="M111" s="16"/>
      <c r="N111" s="16"/>
      <c r="O111" s="16"/>
      <c r="P111" s="16"/>
      <c r="S111" s="16"/>
      <c r="T111" s="16"/>
      <c r="U111" s="16"/>
      <c r="V111" s="16"/>
      <c r="X111" s="16"/>
      <c r="AB111" s="16"/>
      <c r="AC111" s="16"/>
      <c r="AD111" s="16"/>
      <c r="AF111" s="16"/>
      <c r="AG111" s="16"/>
      <c r="AH111" s="16"/>
    </row>
    <row r="112" spans="4:34" x14ac:dyDescent="0.2">
      <c r="D112" s="16"/>
      <c r="E112" s="16"/>
      <c r="F112" s="16"/>
      <c r="G112" s="16"/>
      <c r="H112" s="17"/>
      <c r="I112" s="17"/>
      <c r="J112" s="17"/>
      <c r="K112" s="17"/>
      <c r="L112" s="17"/>
      <c r="M112" s="16"/>
      <c r="N112" s="16"/>
      <c r="O112" s="16"/>
      <c r="P112" s="16"/>
      <c r="S112" s="16"/>
      <c r="T112" s="16"/>
      <c r="U112" s="16"/>
      <c r="V112" s="16"/>
      <c r="X112" s="16"/>
      <c r="AB112" s="16"/>
      <c r="AC112" s="16"/>
      <c r="AD112" s="16"/>
      <c r="AF112" s="16"/>
      <c r="AG112" s="16"/>
      <c r="AH112" s="16"/>
    </row>
    <row r="113" spans="4:34" x14ac:dyDescent="0.2">
      <c r="D113" s="16"/>
      <c r="E113" s="16"/>
      <c r="F113" s="16"/>
      <c r="G113" s="16"/>
      <c r="H113" s="17"/>
      <c r="I113" s="17"/>
      <c r="J113" s="17"/>
      <c r="K113" s="17"/>
      <c r="L113" s="17"/>
      <c r="M113" s="16"/>
      <c r="N113" s="16"/>
      <c r="O113" s="16"/>
      <c r="P113" s="16"/>
      <c r="S113" s="16"/>
      <c r="T113" s="16"/>
      <c r="U113" s="16"/>
      <c r="V113" s="16"/>
      <c r="X113" s="16"/>
      <c r="AB113" s="16"/>
      <c r="AC113" s="16"/>
      <c r="AD113" s="16"/>
      <c r="AF113" s="16"/>
      <c r="AG113" s="16"/>
      <c r="AH113" s="16"/>
    </row>
    <row r="114" spans="4:34" x14ac:dyDescent="0.2">
      <c r="D114" s="16"/>
      <c r="E114" s="16"/>
      <c r="F114" s="16"/>
      <c r="G114" s="16"/>
      <c r="H114" s="17"/>
      <c r="I114" s="17"/>
      <c r="J114" s="17"/>
      <c r="K114" s="17"/>
      <c r="L114" s="17"/>
      <c r="M114" s="16"/>
      <c r="N114" s="16"/>
      <c r="O114" s="16"/>
      <c r="P114" s="16"/>
      <c r="S114" s="16"/>
      <c r="T114" s="16"/>
      <c r="U114" s="16"/>
      <c r="V114" s="16"/>
      <c r="X114" s="16"/>
      <c r="AB114" s="16"/>
      <c r="AC114" s="16"/>
      <c r="AD114" s="16"/>
      <c r="AF114" s="16"/>
      <c r="AG114" s="16"/>
      <c r="AH114" s="16"/>
    </row>
    <row r="115" spans="4:34" x14ac:dyDescent="0.2">
      <c r="D115" s="16"/>
      <c r="E115" s="16"/>
      <c r="F115" s="16"/>
      <c r="G115" s="16"/>
      <c r="H115" s="17"/>
      <c r="I115" s="17"/>
      <c r="J115" s="17"/>
      <c r="K115" s="17"/>
      <c r="L115" s="17"/>
      <c r="M115" s="16"/>
      <c r="N115" s="16"/>
      <c r="O115" s="16"/>
      <c r="P115" s="16"/>
      <c r="S115" s="16"/>
      <c r="T115" s="16"/>
      <c r="U115" s="16"/>
      <c r="V115" s="16"/>
      <c r="X115" s="16"/>
      <c r="AB115" s="16"/>
      <c r="AC115" s="16"/>
      <c r="AD115" s="16"/>
      <c r="AF115" s="16"/>
      <c r="AG115" s="16"/>
      <c r="AH115" s="16"/>
    </row>
    <row r="116" spans="4:34" ht="15" customHeight="1" x14ac:dyDescent="0.2">
      <c r="D116" s="16"/>
      <c r="E116" s="16"/>
      <c r="F116" s="16"/>
      <c r="G116" s="16"/>
      <c r="H116" s="17"/>
      <c r="I116" s="17"/>
      <c r="J116" s="17"/>
      <c r="K116" s="17"/>
      <c r="L116" s="17"/>
      <c r="M116" s="16"/>
      <c r="N116" s="16"/>
      <c r="O116" s="16"/>
      <c r="P116" s="16"/>
      <c r="S116" s="16"/>
      <c r="T116" s="16"/>
      <c r="U116" s="16"/>
      <c r="V116" s="16"/>
      <c r="X116" s="16"/>
      <c r="AB116" s="16"/>
      <c r="AC116" s="16"/>
      <c r="AD116" s="16"/>
      <c r="AF116" s="16"/>
      <c r="AG116" s="16"/>
      <c r="AH116" s="16"/>
    </row>
    <row r="117" spans="4:34" x14ac:dyDescent="0.2">
      <c r="D117" s="16"/>
      <c r="E117" s="16"/>
      <c r="F117" s="16"/>
      <c r="G117" s="16"/>
      <c r="H117" s="17"/>
      <c r="I117" s="17"/>
      <c r="J117" s="17"/>
      <c r="K117" s="17"/>
      <c r="L117" s="17"/>
      <c r="M117" s="16"/>
      <c r="N117" s="16"/>
      <c r="O117" s="16"/>
      <c r="P117" s="16"/>
      <c r="S117" s="16"/>
      <c r="T117" s="16"/>
      <c r="U117" s="16"/>
      <c r="V117" s="16"/>
      <c r="X117" s="16"/>
      <c r="AB117" s="16"/>
      <c r="AC117" s="16"/>
      <c r="AD117" s="16"/>
      <c r="AF117" s="16"/>
      <c r="AG117" s="16"/>
      <c r="AH117" s="16"/>
    </row>
    <row r="118" spans="4:34" x14ac:dyDescent="0.2">
      <c r="D118" s="16"/>
      <c r="E118" s="16"/>
      <c r="F118" s="16"/>
      <c r="G118" s="16"/>
      <c r="H118" s="17"/>
      <c r="I118" s="17"/>
      <c r="J118" s="17"/>
      <c r="K118" s="17"/>
      <c r="L118" s="17"/>
      <c r="M118" s="16"/>
      <c r="N118" s="16"/>
      <c r="O118" s="16"/>
      <c r="P118" s="16"/>
      <c r="S118" s="16"/>
      <c r="T118" s="16"/>
      <c r="U118" s="16"/>
      <c r="V118" s="16"/>
      <c r="X118" s="16"/>
      <c r="AB118" s="16"/>
      <c r="AC118" s="16"/>
      <c r="AD118" s="16"/>
      <c r="AF118" s="16"/>
      <c r="AG118" s="16"/>
      <c r="AH118" s="16"/>
    </row>
    <row r="119" spans="4:34" x14ac:dyDescent="0.2">
      <c r="D119" s="16"/>
      <c r="E119" s="16"/>
      <c r="F119" s="16"/>
      <c r="G119" s="16"/>
      <c r="H119" s="17"/>
      <c r="I119" s="17"/>
      <c r="J119" s="17"/>
      <c r="K119" s="17"/>
      <c r="L119" s="17"/>
      <c r="M119" s="16"/>
      <c r="N119" s="16"/>
      <c r="O119" s="16"/>
      <c r="P119" s="16"/>
      <c r="S119" s="16"/>
      <c r="T119" s="16"/>
      <c r="U119" s="16"/>
      <c r="V119" s="16"/>
      <c r="X119" s="16"/>
      <c r="AB119" s="16"/>
      <c r="AC119" s="16"/>
      <c r="AD119" s="16"/>
      <c r="AF119" s="16"/>
      <c r="AG119" s="16"/>
      <c r="AH119" s="16"/>
    </row>
    <row r="120" spans="4:34" x14ac:dyDescent="0.2">
      <c r="D120" s="16"/>
      <c r="E120" s="16"/>
      <c r="F120" s="16"/>
      <c r="G120" s="16"/>
      <c r="H120" s="17"/>
      <c r="I120" s="17"/>
      <c r="J120" s="17"/>
      <c r="K120" s="17"/>
      <c r="L120" s="17"/>
      <c r="M120" s="16"/>
      <c r="N120" s="16"/>
      <c r="O120" s="16"/>
      <c r="P120" s="16"/>
      <c r="S120" s="16"/>
      <c r="T120" s="16"/>
      <c r="U120" s="16"/>
      <c r="V120" s="16"/>
      <c r="X120" s="16"/>
      <c r="AB120" s="16"/>
      <c r="AC120" s="16"/>
      <c r="AD120" s="16"/>
      <c r="AF120" s="16"/>
      <c r="AG120" s="16"/>
      <c r="AH120" s="16"/>
    </row>
    <row r="121" spans="4:34" x14ac:dyDescent="0.2">
      <c r="D121" s="16"/>
      <c r="E121" s="16"/>
      <c r="F121" s="16"/>
      <c r="G121" s="16"/>
      <c r="H121" s="17"/>
      <c r="I121" s="17"/>
      <c r="J121" s="17"/>
      <c r="K121" s="17"/>
      <c r="L121" s="17"/>
      <c r="M121" s="16"/>
      <c r="N121" s="16"/>
      <c r="O121" s="16"/>
      <c r="P121" s="16"/>
      <c r="S121" s="16"/>
      <c r="T121" s="16"/>
      <c r="U121" s="16"/>
      <c r="V121" s="16"/>
      <c r="X121" s="16"/>
      <c r="AB121" s="16"/>
      <c r="AC121" s="16"/>
      <c r="AD121" s="16"/>
      <c r="AF121" s="16"/>
      <c r="AG121" s="16"/>
      <c r="AH121" s="16"/>
    </row>
    <row r="122" spans="4:34" x14ac:dyDescent="0.2">
      <c r="D122" s="16"/>
      <c r="E122" s="16"/>
      <c r="F122" s="16"/>
      <c r="G122" s="16"/>
      <c r="H122" s="17"/>
      <c r="I122" s="17"/>
      <c r="J122" s="17"/>
      <c r="K122" s="17"/>
      <c r="L122" s="17"/>
      <c r="M122" s="16"/>
      <c r="N122" s="16"/>
      <c r="O122" s="16"/>
      <c r="P122" s="16"/>
      <c r="S122" s="16"/>
      <c r="T122" s="16"/>
      <c r="U122" s="16"/>
      <c r="V122" s="16"/>
      <c r="X122" s="16"/>
      <c r="AB122" s="16"/>
      <c r="AC122" s="16"/>
      <c r="AD122" s="16"/>
      <c r="AF122" s="16"/>
      <c r="AG122" s="16"/>
      <c r="AH122" s="16"/>
    </row>
    <row r="123" spans="4:34" x14ac:dyDescent="0.2">
      <c r="D123" s="16"/>
      <c r="E123" s="16"/>
      <c r="F123" s="16"/>
      <c r="G123" s="16"/>
      <c r="H123" s="17"/>
      <c r="I123" s="17"/>
      <c r="J123" s="17"/>
      <c r="K123" s="17"/>
      <c r="L123" s="17"/>
      <c r="M123" s="16"/>
      <c r="N123" s="16"/>
      <c r="O123" s="16"/>
      <c r="P123" s="16"/>
      <c r="S123" s="16"/>
      <c r="T123" s="16"/>
      <c r="U123" s="16"/>
      <c r="V123" s="16"/>
      <c r="X123" s="16"/>
      <c r="AB123" s="16"/>
      <c r="AC123" s="16"/>
      <c r="AD123" s="16"/>
      <c r="AF123" s="16"/>
      <c r="AG123" s="16"/>
      <c r="AH123" s="16"/>
    </row>
    <row r="124" spans="4:34" x14ac:dyDescent="0.2">
      <c r="D124" s="16"/>
      <c r="E124" s="16"/>
      <c r="F124" s="16"/>
      <c r="G124" s="16"/>
      <c r="H124" s="17"/>
      <c r="I124" s="17"/>
      <c r="J124" s="17"/>
      <c r="K124" s="17"/>
      <c r="L124" s="17"/>
      <c r="M124" s="16"/>
      <c r="N124" s="16"/>
      <c r="O124" s="16"/>
      <c r="P124" s="16"/>
      <c r="S124" s="16"/>
      <c r="T124" s="16"/>
      <c r="U124" s="16"/>
      <c r="V124" s="16"/>
      <c r="X124" s="16"/>
      <c r="AB124" s="16"/>
      <c r="AC124" s="16"/>
      <c r="AD124" s="16"/>
      <c r="AF124" s="16"/>
      <c r="AG124" s="16"/>
      <c r="AH124" s="16"/>
    </row>
    <row r="125" spans="4:34" x14ac:dyDescent="0.2">
      <c r="D125" s="16"/>
      <c r="E125" s="16"/>
      <c r="F125" s="16"/>
      <c r="G125" s="16"/>
      <c r="H125" s="17"/>
      <c r="I125" s="17"/>
      <c r="J125" s="17"/>
      <c r="K125" s="17"/>
      <c r="L125" s="17"/>
      <c r="M125" s="16"/>
      <c r="N125" s="16"/>
      <c r="O125" s="16"/>
      <c r="P125" s="16"/>
      <c r="S125" s="16"/>
      <c r="T125" s="16"/>
      <c r="U125" s="16"/>
      <c r="V125" s="16"/>
      <c r="X125" s="16"/>
      <c r="AB125" s="16"/>
      <c r="AC125" s="16"/>
      <c r="AD125" s="16"/>
      <c r="AF125" s="16"/>
      <c r="AG125" s="16"/>
      <c r="AH125" s="16"/>
    </row>
    <row r="126" spans="4:34" x14ac:dyDescent="0.2">
      <c r="D126" s="16"/>
      <c r="E126" s="16"/>
      <c r="F126" s="16"/>
      <c r="G126" s="16"/>
      <c r="H126" s="17"/>
      <c r="I126" s="17"/>
      <c r="J126" s="17"/>
      <c r="K126" s="17"/>
      <c r="L126" s="17"/>
      <c r="M126" s="16"/>
      <c r="N126" s="16"/>
      <c r="O126" s="16"/>
      <c r="P126" s="16"/>
      <c r="S126" s="16"/>
      <c r="T126" s="16"/>
      <c r="U126" s="16"/>
      <c r="V126" s="16"/>
      <c r="X126" s="16"/>
      <c r="AB126" s="16"/>
      <c r="AC126" s="16"/>
      <c r="AD126" s="16"/>
      <c r="AF126" s="16"/>
      <c r="AG126" s="16"/>
      <c r="AH126" s="16"/>
    </row>
    <row r="127" spans="4:34" x14ac:dyDescent="0.2">
      <c r="D127" s="16"/>
      <c r="E127" s="16"/>
      <c r="F127" s="16"/>
      <c r="G127" s="16"/>
      <c r="H127" s="17"/>
      <c r="I127" s="17"/>
      <c r="J127" s="17"/>
      <c r="K127" s="17"/>
      <c r="L127" s="17"/>
      <c r="M127" s="16"/>
      <c r="N127" s="16"/>
      <c r="O127" s="16"/>
      <c r="P127" s="16"/>
      <c r="S127" s="16"/>
      <c r="T127" s="16"/>
      <c r="U127" s="16"/>
      <c r="V127" s="16"/>
      <c r="X127" s="16"/>
      <c r="AB127" s="16"/>
      <c r="AC127" s="16"/>
      <c r="AD127" s="16"/>
      <c r="AF127" s="16"/>
      <c r="AG127" s="16"/>
      <c r="AH127" s="16"/>
    </row>
    <row r="128" spans="4:34" x14ac:dyDescent="0.2">
      <c r="D128" s="16"/>
      <c r="E128" s="16"/>
      <c r="F128" s="16"/>
      <c r="G128" s="16"/>
      <c r="H128" s="17"/>
      <c r="I128" s="17"/>
      <c r="J128" s="17"/>
      <c r="K128" s="17"/>
      <c r="L128" s="17"/>
      <c r="M128" s="16"/>
      <c r="N128" s="16"/>
      <c r="O128" s="16"/>
      <c r="P128" s="16"/>
      <c r="S128" s="16"/>
      <c r="T128" s="16"/>
      <c r="U128" s="16"/>
      <c r="V128" s="16"/>
      <c r="X128" s="16"/>
      <c r="AB128" s="16"/>
      <c r="AC128" s="16"/>
      <c r="AD128" s="16"/>
      <c r="AF128" s="16"/>
      <c r="AG128" s="16"/>
      <c r="AH128" s="16"/>
    </row>
    <row r="129" spans="4:34" x14ac:dyDescent="0.2">
      <c r="D129" s="16"/>
      <c r="E129" s="16"/>
      <c r="F129" s="16"/>
      <c r="G129" s="16"/>
      <c r="H129" s="17"/>
      <c r="I129" s="17"/>
      <c r="J129" s="17"/>
      <c r="K129" s="17"/>
      <c r="L129" s="17"/>
      <c r="M129" s="16"/>
      <c r="N129" s="16"/>
      <c r="O129" s="16"/>
      <c r="P129" s="16"/>
      <c r="S129" s="16"/>
      <c r="T129" s="16"/>
      <c r="U129" s="16"/>
      <c r="V129" s="16"/>
      <c r="X129" s="16"/>
      <c r="AB129" s="16"/>
      <c r="AC129" s="16"/>
      <c r="AD129" s="16"/>
      <c r="AF129" s="16"/>
      <c r="AG129" s="16"/>
      <c r="AH129" s="16"/>
    </row>
    <row r="130" spans="4:34" x14ac:dyDescent="0.2">
      <c r="D130" s="16"/>
      <c r="E130" s="16"/>
      <c r="F130" s="16"/>
      <c r="G130" s="16"/>
      <c r="H130" s="17"/>
      <c r="I130" s="17"/>
      <c r="J130" s="17"/>
      <c r="K130" s="17"/>
      <c r="L130" s="17"/>
      <c r="M130" s="16"/>
      <c r="N130" s="16"/>
      <c r="O130" s="16"/>
      <c r="P130" s="16"/>
      <c r="S130" s="16"/>
      <c r="T130" s="16"/>
      <c r="U130" s="16"/>
      <c r="V130" s="16"/>
      <c r="X130" s="16"/>
      <c r="AB130" s="16"/>
      <c r="AC130" s="16"/>
      <c r="AD130" s="16"/>
      <c r="AF130" s="16"/>
      <c r="AG130" s="16"/>
      <c r="AH130" s="16"/>
    </row>
    <row r="131" spans="4:34" x14ac:dyDescent="0.2">
      <c r="D131" s="16"/>
      <c r="E131" s="16"/>
      <c r="F131" s="16"/>
      <c r="G131" s="16"/>
      <c r="H131" s="17"/>
      <c r="I131" s="17"/>
      <c r="J131" s="17"/>
      <c r="K131" s="17"/>
      <c r="L131" s="17"/>
      <c r="M131" s="16"/>
      <c r="N131" s="16"/>
      <c r="O131" s="16"/>
      <c r="P131" s="16"/>
      <c r="S131" s="16"/>
      <c r="T131" s="16"/>
      <c r="U131" s="16"/>
      <c r="V131" s="16"/>
      <c r="X131" s="16"/>
      <c r="AB131" s="16"/>
      <c r="AC131" s="16"/>
      <c r="AD131" s="16"/>
      <c r="AF131" s="16"/>
      <c r="AG131" s="16"/>
      <c r="AH131" s="16"/>
    </row>
    <row r="132" spans="4:34" x14ac:dyDescent="0.2">
      <c r="D132" s="16"/>
      <c r="E132" s="16"/>
      <c r="F132" s="16"/>
      <c r="G132" s="16"/>
      <c r="H132" s="17"/>
      <c r="I132" s="17"/>
      <c r="J132" s="17"/>
      <c r="K132" s="17"/>
      <c r="L132" s="17"/>
      <c r="M132" s="16"/>
      <c r="N132" s="16"/>
      <c r="O132" s="16"/>
      <c r="P132" s="16"/>
      <c r="S132" s="16"/>
      <c r="T132" s="16"/>
      <c r="U132" s="16"/>
      <c r="V132" s="16"/>
      <c r="X132" s="16"/>
      <c r="AB132" s="16"/>
      <c r="AC132" s="16"/>
      <c r="AD132" s="16"/>
      <c r="AF132" s="16"/>
      <c r="AG132" s="16"/>
      <c r="AH132" s="16"/>
    </row>
    <row r="133" spans="4:34" x14ac:dyDescent="0.2">
      <c r="D133" s="16"/>
      <c r="E133" s="16"/>
      <c r="F133" s="16"/>
      <c r="G133" s="16"/>
      <c r="H133" s="17"/>
      <c r="I133" s="17"/>
      <c r="J133" s="17"/>
      <c r="K133" s="17"/>
      <c r="L133" s="17"/>
      <c r="M133" s="16"/>
      <c r="N133" s="16"/>
      <c r="O133" s="16"/>
      <c r="P133" s="16"/>
      <c r="S133" s="16"/>
      <c r="T133" s="16"/>
      <c r="U133" s="16"/>
      <c r="V133" s="16"/>
      <c r="X133" s="16"/>
      <c r="AB133" s="16"/>
      <c r="AC133" s="16"/>
      <c r="AD133" s="16"/>
      <c r="AF133" s="16"/>
      <c r="AG133" s="16"/>
      <c r="AH133" s="16"/>
    </row>
    <row r="134" spans="4:34" x14ac:dyDescent="0.2">
      <c r="D134" s="16"/>
      <c r="E134" s="16"/>
      <c r="F134" s="16"/>
      <c r="G134" s="16"/>
      <c r="H134" s="17"/>
      <c r="I134" s="17"/>
      <c r="J134" s="17"/>
      <c r="K134" s="17"/>
      <c r="L134" s="17"/>
      <c r="M134" s="16"/>
      <c r="N134" s="16"/>
      <c r="O134" s="16"/>
      <c r="P134" s="16"/>
      <c r="S134" s="16"/>
      <c r="T134" s="16"/>
      <c r="U134" s="16"/>
      <c r="V134" s="16"/>
      <c r="X134" s="16"/>
      <c r="AB134" s="16"/>
      <c r="AC134" s="16"/>
      <c r="AD134" s="16"/>
      <c r="AF134" s="16"/>
      <c r="AG134" s="16"/>
      <c r="AH134" s="16"/>
    </row>
    <row r="135" spans="4:34" x14ac:dyDescent="0.2">
      <c r="D135" s="16"/>
      <c r="E135" s="16"/>
      <c r="F135" s="16"/>
      <c r="G135" s="16"/>
      <c r="H135" s="17"/>
      <c r="I135" s="17"/>
      <c r="J135" s="17"/>
      <c r="K135" s="17"/>
      <c r="L135" s="17"/>
      <c r="M135" s="16"/>
      <c r="N135" s="16"/>
      <c r="O135" s="16"/>
      <c r="P135" s="16"/>
      <c r="S135" s="16"/>
      <c r="T135" s="16"/>
      <c r="U135" s="16"/>
      <c r="V135" s="16"/>
      <c r="X135" s="16"/>
      <c r="AB135" s="16"/>
      <c r="AC135" s="16"/>
      <c r="AD135" s="16"/>
      <c r="AF135" s="16"/>
      <c r="AG135" s="16"/>
      <c r="AH135" s="16"/>
    </row>
    <row r="136" spans="4:34" x14ac:dyDescent="0.2">
      <c r="D136" s="16"/>
      <c r="E136" s="16"/>
      <c r="F136" s="16"/>
      <c r="G136" s="16"/>
      <c r="H136" s="17"/>
      <c r="I136" s="17"/>
      <c r="J136" s="17"/>
      <c r="K136" s="17"/>
      <c r="L136" s="17"/>
      <c r="M136" s="16"/>
      <c r="N136" s="16"/>
      <c r="O136" s="16"/>
      <c r="P136" s="16"/>
      <c r="S136" s="16"/>
      <c r="T136" s="16"/>
      <c r="U136" s="16"/>
      <c r="V136" s="16"/>
      <c r="X136" s="16"/>
      <c r="AB136" s="16"/>
      <c r="AC136" s="16"/>
      <c r="AD136" s="16"/>
      <c r="AF136" s="16"/>
      <c r="AG136" s="16"/>
      <c r="AH136" s="16"/>
    </row>
    <row r="137" spans="4:34" x14ac:dyDescent="0.2">
      <c r="D137" s="16"/>
      <c r="E137" s="16"/>
      <c r="F137" s="16"/>
      <c r="G137" s="16"/>
      <c r="H137" s="17"/>
      <c r="I137" s="17"/>
      <c r="J137" s="17"/>
      <c r="K137" s="17"/>
      <c r="L137" s="17"/>
      <c r="M137" s="16"/>
      <c r="N137" s="16"/>
      <c r="O137" s="16"/>
      <c r="P137" s="16"/>
      <c r="S137" s="16"/>
      <c r="T137" s="16"/>
      <c r="U137" s="16"/>
      <c r="V137" s="16"/>
      <c r="X137" s="16"/>
      <c r="AB137" s="16"/>
      <c r="AC137" s="16"/>
      <c r="AD137" s="16"/>
      <c r="AF137" s="16"/>
      <c r="AG137" s="16"/>
      <c r="AH137" s="16"/>
    </row>
    <row r="138" spans="4:34" x14ac:dyDescent="0.2">
      <c r="D138" s="16"/>
      <c r="E138" s="16"/>
      <c r="F138" s="16"/>
      <c r="G138" s="16"/>
      <c r="H138" s="17"/>
      <c r="I138" s="17"/>
      <c r="J138" s="17"/>
      <c r="K138" s="17"/>
      <c r="L138" s="17"/>
      <c r="M138" s="16"/>
      <c r="N138" s="16"/>
      <c r="O138" s="16"/>
      <c r="P138" s="16"/>
      <c r="S138" s="16"/>
      <c r="T138" s="16"/>
      <c r="U138" s="16"/>
      <c r="V138" s="16"/>
      <c r="X138" s="16"/>
      <c r="AB138" s="16"/>
      <c r="AC138" s="16"/>
      <c r="AD138" s="16"/>
      <c r="AF138" s="16"/>
      <c r="AG138" s="16"/>
      <c r="AH138" s="16"/>
    </row>
    <row r="139" spans="4:34" x14ac:dyDescent="0.2">
      <c r="D139" s="16"/>
      <c r="E139" s="16"/>
      <c r="F139" s="16"/>
      <c r="G139" s="16"/>
      <c r="H139" s="17"/>
      <c r="I139" s="17"/>
      <c r="J139" s="17"/>
      <c r="K139" s="17"/>
      <c r="L139" s="17"/>
      <c r="M139" s="16"/>
      <c r="N139" s="16"/>
      <c r="O139" s="16"/>
      <c r="P139" s="16"/>
      <c r="S139" s="16"/>
      <c r="T139" s="16"/>
      <c r="U139" s="16"/>
      <c r="V139" s="16"/>
      <c r="X139" s="16"/>
      <c r="AB139" s="16"/>
      <c r="AC139" s="16"/>
      <c r="AD139" s="16"/>
      <c r="AF139" s="16"/>
      <c r="AG139" s="16"/>
      <c r="AH139" s="16"/>
    </row>
    <row r="140" spans="4:34" x14ac:dyDescent="0.2">
      <c r="D140" s="16"/>
      <c r="E140" s="16"/>
      <c r="F140" s="16"/>
      <c r="G140" s="16"/>
      <c r="H140" s="17"/>
      <c r="I140" s="17"/>
      <c r="J140" s="17"/>
      <c r="K140" s="17"/>
      <c r="L140" s="17"/>
      <c r="M140" s="16"/>
      <c r="N140" s="16"/>
      <c r="O140" s="16"/>
      <c r="P140" s="16"/>
      <c r="S140" s="16"/>
      <c r="T140" s="16"/>
      <c r="U140" s="16"/>
      <c r="V140" s="16"/>
      <c r="X140" s="16"/>
      <c r="AB140" s="16"/>
      <c r="AC140" s="16"/>
      <c r="AD140" s="16"/>
      <c r="AF140" s="16"/>
      <c r="AG140" s="16"/>
      <c r="AH140" s="16"/>
    </row>
    <row r="141" spans="4:34" x14ac:dyDescent="0.2">
      <c r="D141" s="16"/>
      <c r="E141" s="16"/>
      <c r="F141" s="16"/>
      <c r="G141" s="16"/>
      <c r="H141" s="17"/>
      <c r="I141" s="17"/>
      <c r="J141" s="17"/>
      <c r="K141" s="17"/>
      <c r="L141" s="17"/>
      <c r="M141" s="16"/>
      <c r="N141" s="16"/>
      <c r="O141" s="16"/>
      <c r="P141" s="16"/>
      <c r="S141" s="16"/>
      <c r="T141" s="16"/>
      <c r="U141" s="16"/>
      <c r="V141" s="16"/>
      <c r="X141" s="16"/>
      <c r="AB141" s="16"/>
      <c r="AC141" s="16"/>
      <c r="AD141" s="16"/>
      <c r="AF141" s="16"/>
      <c r="AG141" s="16"/>
      <c r="AH141" s="16"/>
    </row>
    <row r="142" spans="4:34" x14ac:dyDescent="0.2">
      <c r="D142" s="16"/>
      <c r="E142" s="16"/>
      <c r="F142" s="16"/>
      <c r="G142" s="16"/>
      <c r="H142" s="17"/>
      <c r="I142" s="17"/>
      <c r="J142" s="17"/>
      <c r="K142" s="17"/>
      <c r="L142" s="17"/>
      <c r="M142" s="16"/>
      <c r="N142" s="16"/>
      <c r="O142" s="16"/>
      <c r="P142" s="16"/>
      <c r="S142" s="16"/>
      <c r="T142" s="16"/>
      <c r="U142" s="16"/>
      <c r="V142" s="16"/>
      <c r="X142" s="16"/>
      <c r="AB142" s="16"/>
      <c r="AC142" s="16"/>
      <c r="AD142" s="16"/>
      <c r="AF142" s="16"/>
      <c r="AG142" s="16"/>
      <c r="AH142" s="16"/>
    </row>
    <row r="143" spans="4:34" x14ac:dyDescent="0.2">
      <c r="D143" s="16"/>
      <c r="E143" s="16"/>
      <c r="F143" s="16"/>
      <c r="G143" s="16"/>
      <c r="H143" s="17"/>
      <c r="I143" s="17"/>
      <c r="J143" s="17"/>
      <c r="K143" s="17"/>
      <c r="L143" s="17"/>
      <c r="M143" s="16"/>
      <c r="N143" s="16"/>
      <c r="O143" s="16"/>
      <c r="P143" s="16"/>
      <c r="S143" s="16"/>
      <c r="T143" s="16"/>
      <c r="U143" s="16"/>
      <c r="V143" s="16"/>
      <c r="X143" s="16"/>
      <c r="AB143" s="16"/>
      <c r="AC143" s="16"/>
      <c r="AD143" s="16"/>
      <c r="AF143" s="16"/>
      <c r="AG143" s="16"/>
      <c r="AH143" s="16"/>
    </row>
    <row r="144" spans="4:34" x14ac:dyDescent="0.2">
      <c r="D144" s="16"/>
      <c r="E144" s="16"/>
      <c r="F144" s="16"/>
      <c r="G144" s="16"/>
      <c r="H144" s="17"/>
      <c r="I144" s="17"/>
      <c r="J144" s="17"/>
      <c r="K144" s="17"/>
      <c r="L144" s="17"/>
      <c r="M144" s="16"/>
      <c r="N144" s="16"/>
      <c r="O144" s="16"/>
      <c r="P144" s="16"/>
      <c r="S144" s="16"/>
      <c r="T144" s="16"/>
      <c r="U144" s="16"/>
      <c r="V144" s="16"/>
      <c r="X144" s="16"/>
      <c r="AB144" s="16"/>
      <c r="AC144" s="16"/>
      <c r="AD144" s="16"/>
      <c r="AF144" s="16"/>
      <c r="AG144" s="16"/>
      <c r="AH144" s="16"/>
    </row>
    <row r="145" spans="4:34" x14ac:dyDescent="0.2">
      <c r="D145" s="16"/>
      <c r="E145" s="16"/>
      <c r="F145" s="16"/>
      <c r="G145" s="16"/>
      <c r="H145" s="17"/>
      <c r="I145" s="17"/>
      <c r="J145" s="17"/>
      <c r="K145" s="17"/>
      <c r="L145" s="17"/>
      <c r="M145" s="16"/>
      <c r="N145" s="16"/>
      <c r="O145" s="16"/>
      <c r="P145" s="16"/>
      <c r="S145" s="16"/>
      <c r="T145" s="16"/>
      <c r="U145" s="16"/>
      <c r="V145" s="16"/>
      <c r="X145" s="16"/>
      <c r="AB145" s="16"/>
      <c r="AC145" s="16"/>
      <c r="AD145" s="16"/>
      <c r="AF145" s="16"/>
      <c r="AG145" s="16"/>
      <c r="AH145" s="16"/>
    </row>
    <row r="146" spans="4:34" x14ac:dyDescent="0.2">
      <c r="D146" s="16"/>
      <c r="E146" s="16"/>
      <c r="F146" s="16"/>
      <c r="G146" s="16"/>
      <c r="H146" s="17"/>
      <c r="I146" s="17"/>
      <c r="J146" s="17"/>
      <c r="K146" s="17"/>
      <c r="L146" s="17"/>
      <c r="M146" s="16"/>
      <c r="N146" s="16"/>
      <c r="O146" s="16"/>
      <c r="P146" s="16"/>
      <c r="S146" s="16"/>
      <c r="T146" s="16"/>
      <c r="U146" s="16"/>
      <c r="V146" s="16"/>
      <c r="X146" s="16"/>
      <c r="AB146" s="16"/>
      <c r="AC146" s="16"/>
      <c r="AD146" s="16"/>
      <c r="AF146" s="16"/>
      <c r="AG146" s="16"/>
      <c r="AH146" s="16"/>
    </row>
    <row r="147" spans="4:34" x14ac:dyDescent="0.2">
      <c r="D147" s="16"/>
      <c r="E147" s="16"/>
      <c r="F147" s="16"/>
      <c r="G147" s="16"/>
      <c r="H147" s="17"/>
      <c r="I147" s="17"/>
      <c r="J147" s="17"/>
      <c r="K147" s="17"/>
      <c r="L147" s="17"/>
      <c r="M147" s="16"/>
      <c r="N147" s="16"/>
      <c r="O147" s="16"/>
      <c r="P147" s="16"/>
      <c r="S147" s="16"/>
      <c r="T147" s="16"/>
      <c r="U147" s="16"/>
      <c r="V147" s="16"/>
      <c r="X147" s="16"/>
      <c r="AB147" s="16"/>
      <c r="AC147" s="16"/>
      <c r="AD147" s="16"/>
      <c r="AF147" s="16"/>
      <c r="AG147" s="16"/>
      <c r="AH147" s="16"/>
    </row>
    <row r="148" spans="4:34" x14ac:dyDescent="0.2">
      <c r="D148" s="16"/>
      <c r="E148" s="16"/>
      <c r="F148" s="16"/>
      <c r="G148" s="16"/>
      <c r="H148" s="17"/>
      <c r="I148" s="17"/>
      <c r="J148" s="17"/>
      <c r="K148" s="17"/>
      <c r="L148" s="17"/>
      <c r="M148" s="16"/>
      <c r="N148" s="16"/>
      <c r="O148" s="16"/>
      <c r="P148" s="16"/>
      <c r="S148" s="16"/>
      <c r="T148" s="16"/>
      <c r="U148" s="16"/>
      <c r="V148" s="16"/>
      <c r="X148" s="16"/>
      <c r="AB148" s="16"/>
      <c r="AC148" s="16"/>
      <c r="AD148" s="16"/>
      <c r="AF148" s="16"/>
      <c r="AG148" s="16"/>
      <c r="AH148" s="16"/>
    </row>
    <row r="149" spans="4:34" x14ac:dyDescent="0.2">
      <c r="D149" s="16"/>
      <c r="E149" s="16"/>
      <c r="F149" s="16"/>
      <c r="G149" s="16"/>
      <c r="H149" s="17"/>
      <c r="I149" s="17"/>
      <c r="J149" s="17"/>
      <c r="K149" s="17"/>
      <c r="L149" s="17"/>
      <c r="M149" s="16"/>
      <c r="N149" s="16"/>
      <c r="O149" s="16"/>
      <c r="P149" s="16"/>
      <c r="S149" s="16"/>
      <c r="T149" s="16"/>
      <c r="U149" s="16"/>
      <c r="V149" s="16"/>
      <c r="X149" s="16"/>
      <c r="AB149" s="16"/>
      <c r="AC149" s="16"/>
      <c r="AD149" s="16"/>
      <c r="AF149" s="16"/>
      <c r="AG149" s="16"/>
      <c r="AH149" s="16"/>
    </row>
    <row r="150" spans="4:34" x14ac:dyDescent="0.2">
      <c r="D150" s="16"/>
      <c r="E150" s="16"/>
      <c r="F150" s="16"/>
      <c r="G150" s="16"/>
      <c r="H150" s="17"/>
      <c r="I150" s="17"/>
      <c r="J150" s="17"/>
      <c r="K150" s="17"/>
      <c r="L150" s="17"/>
      <c r="M150" s="16"/>
      <c r="N150" s="16"/>
      <c r="O150" s="16"/>
      <c r="P150" s="16"/>
      <c r="S150" s="16"/>
      <c r="T150" s="16"/>
      <c r="U150" s="16"/>
      <c r="V150" s="16"/>
      <c r="X150" s="16"/>
      <c r="AB150" s="16"/>
      <c r="AC150" s="16"/>
      <c r="AD150" s="16"/>
      <c r="AF150" s="16"/>
      <c r="AG150" s="16"/>
      <c r="AH150" s="16"/>
    </row>
    <row r="151" spans="4:34" x14ac:dyDescent="0.2">
      <c r="D151" s="16"/>
      <c r="E151" s="16"/>
      <c r="F151" s="16"/>
      <c r="G151" s="16"/>
      <c r="H151" s="17"/>
      <c r="I151" s="17"/>
      <c r="J151" s="17"/>
      <c r="K151" s="17"/>
      <c r="L151" s="17"/>
      <c r="M151" s="16"/>
      <c r="N151" s="16"/>
      <c r="O151" s="16"/>
      <c r="P151" s="16"/>
      <c r="S151" s="16"/>
      <c r="T151" s="16"/>
      <c r="U151" s="16"/>
      <c r="V151" s="16"/>
      <c r="X151" s="16"/>
      <c r="AB151" s="16"/>
      <c r="AC151" s="16"/>
      <c r="AD151" s="16"/>
      <c r="AF151" s="16"/>
      <c r="AG151" s="16"/>
      <c r="AH151" s="16"/>
    </row>
    <row r="152" spans="4:34" x14ac:dyDescent="0.2">
      <c r="D152" s="16"/>
      <c r="E152" s="16"/>
      <c r="F152" s="16"/>
      <c r="G152" s="16"/>
      <c r="H152" s="17"/>
      <c r="I152" s="17"/>
      <c r="J152" s="17"/>
      <c r="K152" s="17"/>
      <c r="L152" s="17"/>
      <c r="M152" s="16"/>
      <c r="N152" s="16"/>
      <c r="O152" s="16"/>
      <c r="P152" s="16"/>
      <c r="S152" s="16"/>
      <c r="T152" s="16"/>
      <c r="U152" s="16"/>
      <c r="V152" s="16"/>
      <c r="X152" s="16"/>
      <c r="AB152" s="16"/>
      <c r="AC152" s="16"/>
      <c r="AD152" s="16"/>
      <c r="AF152" s="16"/>
      <c r="AG152" s="16"/>
      <c r="AH152" s="16"/>
    </row>
  </sheetData>
  <sheetProtection formatColumns="0" formatRows="0" autoFilter="0"/>
  <mergeCells count="1">
    <mergeCell ref="U1:V1"/>
  </mergeCells>
  <dataValidations count="1">
    <dataValidation type="list" allowBlank="1" showInputMessage="1" showErrorMessage="1" sqref="D1:D35 F1:G35" xr:uid="{259DC23A-C7F3-4D45-A7B3-403EA4C17469}">
      <formula1>$D$2:$D$33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SINDICATOS</vt:lpstr>
      <vt:lpstr>ESTADO__SINDICATO</vt:lpstr>
      <vt:lpstr>REGRASSINDICATO</vt:lpstr>
      <vt:lpstr>UF_SINDICATO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Marinotti</dc:creator>
  <cp:lastModifiedBy>Carlos Marinotti</cp:lastModifiedBy>
  <dcterms:created xsi:type="dcterms:W3CDTF">2026-05-11T12:18:30Z</dcterms:created>
  <dcterms:modified xsi:type="dcterms:W3CDTF">2026-05-11T13:50:00Z</dcterms:modified>
</cp:coreProperties>
</file>